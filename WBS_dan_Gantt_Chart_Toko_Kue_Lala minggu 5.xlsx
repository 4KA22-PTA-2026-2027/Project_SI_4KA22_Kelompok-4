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8_{0A642726-9570-4FC4-B4A1-4348848DE40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Diagram WBS" sheetId="1" r:id="rId1"/>
    <sheet name="Kamus WBS" sheetId="2" r:id="rId2"/>
    <sheet name="Gantt Chart" sheetId="3" r:id="rId3"/>
  </sheets>
  <definedNames>
    <definedName name="_xlnm.Print_Titles" localSheetId="2">'Gantt Chart'!$7:$9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K6" i="3" l="1"/>
  <c r="CH6" i="3"/>
  <c r="BY6" i="3"/>
  <c r="BV6" i="3"/>
  <c r="BP6" i="3"/>
  <c r="BO5" i="3"/>
  <c r="BN5" i="3"/>
  <c r="BM6" i="3"/>
  <c r="I52" i="3"/>
  <c r="BN6" i="3"/>
  <c r="BN52" i="3"/>
  <c r="BI6" i="3"/>
  <c r="AW6" i="3"/>
  <c r="AV6" i="3"/>
  <c r="I54" i="3"/>
  <c r="AV54" i="3"/>
  <c r="AQ8" i="3"/>
  <c r="I49" i="3"/>
  <c r="AO6" i="3"/>
  <c r="AI6" i="3"/>
  <c r="AC6" i="3"/>
  <c r="Q6" i="3"/>
  <c r="Q49" i="3"/>
  <c r="AO54" i="3"/>
  <c r="I51" i="3"/>
  <c r="BU6" i="3"/>
  <c r="BU51" i="3"/>
  <c r="L55" i="3"/>
  <c r="K55" i="3"/>
  <c r="B55" i="3"/>
  <c r="A55" i="3"/>
  <c r="Q54" i="3"/>
  <c r="L54" i="3"/>
  <c r="K54" i="3"/>
  <c r="B54" i="3"/>
  <c r="A54" i="3"/>
  <c r="L53" i="3"/>
  <c r="K53" i="3"/>
  <c r="B53" i="3"/>
  <c r="A53" i="3"/>
  <c r="AU6" i="3"/>
  <c r="AU52" i="3"/>
  <c r="AR6" i="3"/>
  <c r="AR52" i="3"/>
  <c r="T6" i="3"/>
  <c r="T52" i="3"/>
  <c r="L52" i="3"/>
  <c r="K52" i="3"/>
  <c r="B52" i="3"/>
  <c r="A52" i="3"/>
  <c r="AX6" i="3"/>
  <c r="AX51" i="3"/>
  <c r="AU51" i="3"/>
  <c r="AO51" i="3"/>
  <c r="AL6" i="3"/>
  <c r="AL51" i="3"/>
  <c r="L51" i="3"/>
  <c r="K51" i="3"/>
  <c r="B51" i="3"/>
  <c r="A51" i="3"/>
  <c r="L50" i="3"/>
  <c r="K50" i="3"/>
  <c r="B50" i="3"/>
  <c r="A50" i="3"/>
  <c r="BY49" i="3"/>
  <c r="AU49" i="3"/>
  <c r="L49" i="3"/>
  <c r="K49" i="3"/>
  <c r="B49" i="3"/>
  <c r="A49" i="3"/>
  <c r="I48" i="3"/>
  <c r="BY48" i="3"/>
  <c r="AX48" i="3"/>
  <c r="AR48" i="3"/>
  <c r="AC48" i="3"/>
  <c r="L48" i="3"/>
  <c r="K48" i="3"/>
  <c r="B48" i="3"/>
  <c r="A48" i="3"/>
  <c r="L47" i="3"/>
  <c r="K47" i="3"/>
  <c r="B47" i="3"/>
  <c r="A47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L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L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L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L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L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L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F14" i="3"/>
  <c r="D14" i="3"/>
  <c r="G14" i="3"/>
  <c r="C14" i="3"/>
  <c r="B14" i="3"/>
  <c r="A14" i="3"/>
  <c r="L13" i="3"/>
  <c r="C13" i="3"/>
  <c r="B13" i="3"/>
  <c r="A13" i="3"/>
  <c r="F12" i="3"/>
  <c r="C12" i="3"/>
  <c r="B12" i="3"/>
  <c r="A12" i="3"/>
  <c r="F11" i="3"/>
  <c r="J11" i="3"/>
  <c r="C11" i="3"/>
  <c r="B11" i="3"/>
  <c r="A11" i="3"/>
  <c r="L10" i="3"/>
  <c r="C10" i="3"/>
  <c r="B10" i="3"/>
  <c r="A10" i="3"/>
  <c r="CE8" i="3"/>
  <c r="BU8" i="3"/>
  <c r="BP8" i="3"/>
  <c r="BK8" i="3"/>
  <c r="AV8" i="3"/>
  <c r="AL8" i="3"/>
  <c r="M8" i="3"/>
  <c r="CJ7" i="3"/>
  <c r="CE7" i="3"/>
  <c r="BZ7" i="3"/>
  <c r="BU7" i="3"/>
  <c r="BP7" i="3"/>
  <c r="BA7" i="3"/>
  <c r="AL7" i="3"/>
  <c r="W7" i="3"/>
  <c r="M7" i="3"/>
  <c r="CN6" i="3"/>
  <c r="CM6" i="3"/>
  <c r="CL6" i="3"/>
  <c r="CG6" i="3"/>
  <c r="CG49" i="3"/>
  <c r="CF6" i="3"/>
  <c r="CF51" i="3"/>
  <c r="CE6" i="3"/>
  <c r="CE52" i="3"/>
  <c r="CB6" i="3"/>
  <c r="BS6" i="3"/>
  <c r="BS54" i="3"/>
  <c r="BQ6" i="3"/>
  <c r="BQ49" i="3"/>
  <c r="BO6" i="3"/>
  <c r="BK6" i="3"/>
  <c r="BJ6" i="3"/>
  <c r="BJ54" i="3"/>
  <c r="BG6" i="3"/>
  <c r="BE6" i="3"/>
  <c r="BE51" i="3"/>
  <c r="BD6" i="3"/>
  <c r="BC6" i="3"/>
  <c r="AY6" i="3"/>
  <c r="AQ6" i="3"/>
  <c r="AM6" i="3"/>
  <c r="AL54" i="3"/>
  <c r="AK6" i="3"/>
  <c r="AJ6" i="3"/>
  <c r="AJ48" i="3"/>
  <c r="AF6" i="3"/>
  <c r="AE6" i="3"/>
  <c r="Z6" i="3"/>
  <c r="Z54" i="3"/>
  <c r="Y6" i="3"/>
  <c r="U6" i="3"/>
  <c r="T51" i="3"/>
  <c r="O6" i="3"/>
  <c r="N6" i="3"/>
  <c r="N49" i="3"/>
  <c r="M6" i="3"/>
  <c r="M49" i="3"/>
  <c r="CN5" i="3"/>
  <c r="CM5" i="3"/>
  <c r="CL5" i="3"/>
  <c r="CK5" i="3"/>
  <c r="CJ5" i="3"/>
  <c r="BM5" i="3"/>
  <c r="Q18" i="1"/>
  <c r="K18" i="1"/>
  <c r="I18" i="1"/>
  <c r="G18" i="1"/>
  <c r="E18" i="1"/>
  <c r="Q15" i="1"/>
  <c r="O15" i="1"/>
  <c r="M15" i="1"/>
  <c r="K15" i="1"/>
  <c r="I15" i="1"/>
  <c r="G15" i="1"/>
  <c r="E15" i="1"/>
  <c r="Q12" i="1"/>
  <c r="O12" i="1"/>
  <c r="M12" i="1"/>
  <c r="K12" i="1"/>
  <c r="I12" i="1"/>
  <c r="G12" i="1"/>
  <c r="E12" i="1"/>
  <c r="C12" i="1"/>
  <c r="Q9" i="1"/>
  <c r="O9" i="1"/>
  <c r="M9" i="1"/>
  <c r="K9" i="1"/>
  <c r="I9" i="1"/>
  <c r="G9" i="1"/>
  <c r="E9" i="1"/>
  <c r="C9" i="1"/>
  <c r="Q6" i="1"/>
  <c r="O6" i="1"/>
  <c r="M6" i="1"/>
  <c r="K6" i="1"/>
  <c r="I6" i="1"/>
  <c r="G6" i="1"/>
  <c r="E6" i="1"/>
  <c r="C6" i="1"/>
  <c r="AV52" i="3"/>
  <c r="CF48" i="3"/>
  <c r="BP51" i="3"/>
  <c r="CB52" i="3"/>
  <c r="BQ51" i="3"/>
  <c r="AI54" i="3"/>
  <c r="CF52" i="3"/>
  <c r="BO52" i="3"/>
  <c r="AL48" i="3"/>
  <c r="AR54" i="3"/>
  <c r="BY54" i="3"/>
  <c r="N48" i="3"/>
  <c r="Q51" i="3"/>
  <c r="CB54" i="3"/>
  <c r="AO49" i="3"/>
  <c r="Q48" i="3"/>
  <c r="AM54" i="3"/>
  <c r="AM52" i="3"/>
  <c r="AM49" i="3"/>
  <c r="AM48" i="3"/>
  <c r="F15" i="3"/>
  <c r="AD6" i="3"/>
  <c r="AM51" i="3"/>
  <c r="CL51" i="3"/>
  <c r="CL49" i="3"/>
  <c r="CL52" i="3"/>
  <c r="CL48" i="3"/>
  <c r="CL54" i="3"/>
  <c r="H12" i="3"/>
  <c r="M5" i="3"/>
  <c r="J12" i="3"/>
  <c r="BY5" i="3"/>
  <c r="BC5" i="3"/>
  <c r="U54" i="3"/>
  <c r="U52" i="3"/>
  <c r="U48" i="3"/>
  <c r="U51" i="3"/>
  <c r="U49" i="3"/>
  <c r="N5" i="3"/>
  <c r="Y48" i="3"/>
  <c r="Y54" i="3"/>
  <c r="Y49" i="3"/>
  <c r="Y52" i="3"/>
  <c r="Y51" i="3"/>
  <c r="BM52" i="3"/>
  <c r="BM54" i="3"/>
  <c r="BM48" i="3"/>
  <c r="BM51" i="3"/>
  <c r="BM49" i="3"/>
  <c r="BS52" i="3"/>
  <c r="BS49" i="3"/>
  <c r="BS48" i="3"/>
  <c r="BS51" i="3"/>
  <c r="BC54" i="3"/>
  <c r="BC48" i="3"/>
  <c r="BC52" i="3"/>
  <c r="BC49" i="3"/>
  <c r="BC51" i="3"/>
  <c r="AS6" i="3"/>
  <c r="BA6" i="3"/>
  <c r="BA8" i="3"/>
  <c r="CG48" i="3"/>
  <c r="CG54" i="3"/>
  <c r="CG52" i="3"/>
  <c r="CG51" i="3"/>
  <c r="CK52" i="3"/>
  <c r="CK51" i="3"/>
  <c r="CK48" i="3"/>
  <c r="CK49" i="3"/>
  <c r="CK54" i="3"/>
  <c r="BD49" i="3"/>
  <c r="BD54" i="3"/>
  <c r="BD51" i="3"/>
  <c r="BD48" i="3"/>
  <c r="BD52" i="3"/>
  <c r="H11" i="3"/>
  <c r="AW48" i="3"/>
  <c r="AW54" i="3"/>
  <c r="AW49" i="3"/>
  <c r="AW51" i="3"/>
  <c r="AW52" i="3"/>
  <c r="Z51" i="3"/>
  <c r="Z49" i="3"/>
  <c r="AP6" i="3"/>
  <c r="CM54" i="3"/>
  <c r="CM48" i="3"/>
  <c r="CM49" i="3"/>
  <c r="CM52" i="3"/>
  <c r="AY49" i="3"/>
  <c r="M48" i="3"/>
  <c r="M54" i="3"/>
  <c r="M51" i="3"/>
  <c r="M52" i="3"/>
  <c r="AR49" i="3"/>
  <c r="AR51" i="3"/>
  <c r="BG49" i="3"/>
  <c r="BG54" i="3"/>
  <c r="BJ49" i="3"/>
  <c r="W8" i="3"/>
  <c r="W6" i="3"/>
  <c r="N54" i="3"/>
  <c r="N51" i="3"/>
  <c r="N52" i="3"/>
  <c r="BV52" i="3"/>
  <c r="BV51" i="3"/>
  <c r="BV54" i="3"/>
  <c r="BV49" i="3"/>
  <c r="BK54" i="3"/>
  <c r="BK52" i="3"/>
  <c r="BK48" i="3"/>
  <c r="BK51" i="3"/>
  <c r="BG48" i="3"/>
  <c r="AQ7" i="3"/>
  <c r="CN49" i="3"/>
  <c r="CN51" i="3"/>
  <c r="BG52" i="3"/>
  <c r="CN52" i="3"/>
  <c r="CN54" i="3"/>
  <c r="AI48" i="3"/>
  <c r="AI51" i="3"/>
  <c r="AI49" i="3"/>
  <c r="Z52" i="3"/>
  <c r="AE54" i="3"/>
  <c r="AE48" i="3"/>
  <c r="AE52" i="3"/>
  <c r="AE49" i="3"/>
  <c r="CN48" i="3"/>
  <c r="AC49" i="3"/>
  <c r="BI52" i="3"/>
  <c r="AF49" i="3"/>
  <c r="AF48" i="3"/>
  <c r="AF54" i="3"/>
  <c r="AF51" i="3"/>
  <c r="AF52" i="3"/>
  <c r="CB49" i="3"/>
  <c r="CB48" i="3"/>
  <c r="CB51" i="3"/>
  <c r="BN51" i="3"/>
  <c r="BN49" i="3"/>
  <c r="BN48" i="3"/>
  <c r="BO49" i="3"/>
  <c r="BG51" i="3"/>
  <c r="CM51" i="3"/>
  <c r="CC6" i="3"/>
  <c r="BE54" i="3"/>
  <c r="BE52" i="3"/>
  <c r="BE48" i="3"/>
  <c r="BE49" i="3"/>
  <c r="BB6" i="3"/>
  <c r="AQ54" i="3"/>
  <c r="AQ48" i="3"/>
  <c r="AQ49" i="3"/>
  <c r="Z48" i="3"/>
  <c r="AQ51" i="3"/>
  <c r="BJ48" i="3"/>
  <c r="BJ51" i="3"/>
  <c r="BJ52" i="3"/>
  <c r="W5" i="3"/>
  <c r="O54" i="3"/>
  <c r="O52" i="3"/>
  <c r="O48" i="3"/>
  <c r="O51" i="3"/>
  <c r="O49" i="3"/>
  <c r="AJ49" i="3"/>
  <c r="AJ54" i="3"/>
  <c r="AJ51" i="3"/>
  <c r="AJ52" i="3"/>
  <c r="AX54" i="3"/>
  <c r="AX52" i="3"/>
  <c r="AX49" i="3"/>
  <c r="BO54" i="3"/>
  <c r="BO48" i="3"/>
  <c r="CE54" i="3"/>
  <c r="CE48" i="3"/>
  <c r="CE49" i="3"/>
  <c r="CE51" i="3"/>
  <c r="F10" i="3"/>
  <c r="H14" i="3"/>
  <c r="J14" i="3"/>
  <c r="AL49" i="3"/>
  <c r="AI52" i="3"/>
  <c r="BN54" i="3"/>
  <c r="Q52" i="3"/>
  <c r="AC52" i="3"/>
  <c r="AC54" i="3"/>
  <c r="AC51" i="3"/>
  <c r="CH49" i="3"/>
  <c r="AT5" i="3"/>
  <c r="AT6" i="3"/>
  <c r="BK49" i="3"/>
  <c r="CH52" i="3"/>
  <c r="CH54" i="3"/>
  <c r="CH48" i="3"/>
  <c r="CH51" i="3"/>
  <c r="T49" i="3"/>
  <c r="T54" i="3"/>
  <c r="T48" i="3"/>
  <c r="AK48" i="3"/>
  <c r="AK54" i="3"/>
  <c r="AK52" i="3"/>
  <c r="AK49" i="3"/>
  <c r="AK51" i="3"/>
  <c r="AY54" i="3"/>
  <c r="AY52" i="3"/>
  <c r="AY48" i="3"/>
  <c r="AY51" i="3"/>
  <c r="BQ54" i="3"/>
  <c r="BQ52" i="3"/>
  <c r="BQ48" i="3"/>
  <c r="CF49" i="3"/>
  <c r="CF54" i="3"/>
  <c r="BV48" i="3"/>
  <c r="AE51" i="3"/>
  <c r="BO51" i="3"/>
  <c r="AQ52" i="3"/>
  <c r="AV49" i="3"/>
  <c r="AV48" i="3"/>
  <c r="AV51" i="3"/>
  <c r="BP49" i="3"/>
  <c r="BP54" i="3"/>
  <c r="BP52" i="3"/>
  <c r="BP48" i="3"/>
  <c r="AV7" i="3"/>
  <c r="BW6" i="3"/>
  <c r="BW5" i="3"/>
  <c r="AL52" i="3"/>
  <c r="X6" i="3"/>
  <c r="AJ5" i="3"/>
  <c r="BI48" i="3"/>
  <c r="BI54" i="3"/>
  <c r="BI51" i="3"/>
  <c r="BI49" i="3"/>
  <c r="AU54" i="3"/>
  <c r="AU48" i="3"/>
  <c r="BU48" i="3"/>
  <c r="BU54" i="3"/>
  <c r="BU49" i="3"/>
  <c r="BU52" i="3"/>
  <c r="AO48" i="3"/>
  <c r="P5" i="3"/>
  <c r="P6" i="3"/>
  <c r="AN6" i="3"/>
  <c r="BE5" i="3"/>
  <c r="AA6" i="3"/>
  <c r="AO52" i="3"/>
  <c r="BY52" i="3"/>
  <c r="BY51" i="3"/>
  <c r="S6" i="3"/>
  <c r="BH6" i="3"/>
  <c r="BP5" i="3"/>
  <c r="BR6" i="3"/>
  <c r="AO5" i="3"/>
  <c r="BL5" i="3"/>
  <c r="BL6" i="3"/>
  <c r="AH6" i="3"/>
  <c r="BG5" i="3"/>
  <c r="CA6" i="3"/>
  <c r="CD6" i="3"/>
  <c r="BX6" i="3"/>
  <c r="AP5" i="3"/>
  <c r="AD5" i="3"/>
  <c r="CD5" i="3"/>
  <c r="BR51" i="3"/>
  <c r="BR52" i="3"/>
  <c r="BR54" i="3"/>
  <c r="BR49" i="3"/>
  <c r="BR48" i="3"/>
  <c r="I53" i="3"/>
  <c r="BR53" i="3"/>
  <c r="I50" i="3"/>
  <c r="BR50" i="3"/>
  <c r="X49" i="3"/>
  <c r="X54" i="3"/>
  <c r="X52" i="3"/>
  <c r="X51" i="3"/>
  <c r="X48" i="3"/>
  <c r="BZ5" i="3"/>
  <c r="CA54" i="3"/>
  <c r="CA50" i="3"/>
  <c r="CA48" i="3"/>
  <c r="CA53" i="3"/>
  <c r="CA51" i="3"/>
  <c r="CA49" i="3"/>
  <c r="CA52" i="3"/>
  <c r="BR5" i="3"/>
  <c r="X5" i="3"/>
  <c r="BI5" i="3"/>
  <c r="CI5" i="3"/>
  <c r="AH51" i="3"/>
  <c r="AH50" i="3"/>
  <c r="AH54" i="3"/>
  <c r="AH52" i="3"/>
  <c r="AH49" i="3"/>
  <c r="AH48" i="3"/>
  <c r="R5" i="3"/>
  <c r="R7" i="3"/>
  <c r="CE5" i="3"/>
  <c r="CC54" i="3"/>
  <c r="CC52" i="3"/>
  <c r="CC48" i="3"/>
  <c r="CC53" i="3"/>
  <c r="CC49" i="3"/>
  <c r="CC51" i="3"/>
  <c r="CD51" i="3"/>
  <c r="CD50" i="3"/>
  <c r="CD54" i="3"/>
  <c r="CD48" i="3"/>
  <c r="CD52" i="3"/>
  <c r="CD49" i="3"/>
  <c r="BK5" i="3"/>
  <c r="BK7" i="3"/>
  <c r="AN51" i="3"/>
  <c r="AN49" i="3"/>
  <c r="AN52" i="3"/>
  <c r="AN48" i="3"/>
  <c r="AN54" i="3"/>
  <c r="I55" i="3"/>
  <c r="X55" i="3"/>
  <c r="CI6" i="3"/>
  <c r="CC5" i="3"/>
  <c r="AW5" i="3"/>
  <c r="AL5" i="3"/>
  <c r="AH5" i="3"/>
  <c r="AN5" i="3"/>
  <c r="AM5" i="3"/>
  <c r="BA52" i="3"/>
  <c r="BA50" i="3"/>
  <c r="BA53" i="3"/>
  <c r="BA49" i="3"/>
  <c r="BA51" i="3"/>
  <c r="BA54" i="3"/>
  <c r="BA48" i="3"/>
  <c r="T5" i="3"/>
  <c r="R6" i="3"/>
  <c r="R8" i="3"/>
  <c r="CJ8" i="3"/>
  <c r="CJ6" i="3"/>
  <c r="AV5" i="3"/>
  <c r="AN53" i="3"/>
  <c r="BT6" i="3"/>
  <c r="AQ5" i="3"/>
  <c r="AS5" i="3"/>
  <c r="Z5" i="3"/>
  <c r="BX53" i="3"/>
  <c r="BX51" i="3"/>
  <c r="BX52" i="3"/>
  <c r="BX49" i="3"/>
  <c r="BX48" i="3"/>
  <c r="BX54" i="3"/>
  <c r="V5" i="3"/>
  <c r="AA5" i="3"/>
  <c r="BS5" i="3"/>
  <c r="BT5" i="3"/>
  <c r="BB5" i="3"/>
  <c r="AS54" i="3"/>
  <c r="AS52" i="3"/>
  <c r="AS48" i="3"/>
  <c r="AS51" i="3"/>
  <c r="AS49" i="3"/>
  <c r="U5" i="3"/>
  <c r="BX5" i="3"/>
  <c r="S54" i="3"/>
  <c r="S48" i="3"/>
  <c r="S53" i="3"/>
  <c r="S55" i="3"/>
  <c r="S52" i="3"/>
  <c r="S49" i="3"/>
  <c r="S51" i="3"/>
  <c r="AA54" i="3"/>
  <c r="AA52" i="3"/>
  <c r="AA51" i="3"/>
  <c r="AA49" i="3"/>
  <c r="AA48" i="3"/>
  <c r="AA53" i="3"/>
  <c r="AA55" i="3"/>
  <c r="BH5" i="3"/>
  <c r="AC5" i="3"/>
  <c r="W50" i="3"/>
  <c r="AZ6" i="3"/>
  <c r="BB51" i="3"/>
  <c r="BB49" i="3"/>
  <c r="BB52" i="3"/>
  <c r="BB53" i="3"/>
  <c r="BB54" i="3"/>
  <c r="BB48" i="3"/>
  <c r="CG5" i="3"/>
  <c r="BD5" i="3"/>
  <c r="AF5" i="3"/>
  <c r="BA5" i="3"/>
  <c r="O5" i="3"/>
  <c r="AK5" i="3"/>
  <c r="Y5" i="3"/>
  <c r="BJ5" i="3"/>
  <c r="AE5" i="3"/>
  <c r="Q5" i="3"/>
  <c r="BZ8" i="3"/>
  <c r="BZ6" i="3"/>
  <c r="AZ5" i="3"/>
  <c r="AI5" i="3"/>
  <c r="AX5" i="3"/>
  <c r="AP51" i="3"/>
  <c r="AP49" i="3"/>
  <c r="AP52" i="3"/>
  <c r="AP48" i="3"/>
  <c r="AP54" i="3"/>
  <c r="AP50" i="3"/>
  <c r="AP53" i="3"/>
  <c r="AR5" i="3"/>
  <c r="BU5" i="3"/>
  <c r="W52" i="3"/>
  <c r="W49" i="3"/>
  <c r="W48" i="3"/>
  <c r="W54" i="3"/>
  <c r="W51" i="3"/>
  <c r="W53" i="3"/>
  <c r="CA5" i="3"/>
  <c r="AG5" i="3"/>
  <c r="AG7" i="3"/>
  <c r="AT51" i="3"/>
  <c r="AT54" i="3"/>
  <c r="AT52" i="3"/>
  <c r="AT50" i="3"/>
  <c r="AT48" i="3"/>
  <c r="AT49" i="3"/>
  <c r="BH49" i="3"/>
  <c r="BH55" i="3"/>
  <c r="BH51" i="3"/>
  <c r="BH54" i="3"/>
  <c r="BH48" i="3"/>
  <c r="BH52" i="3"/>
  <c r="BH50" i="3"/>
  <c r="BW54" i="3"/>
  <c r="BW52" i="3"/>
  <c r="BW51" i="3"/>
  <c r="BW49" i="3"/>
  <c r="BW50" i="3"/>
  <c r="BW53" i="3"/>
  <c r="BW48" i="3"/>
  <c r="AU5" i="3"/>
  <c r="J10" i="3"/>
  <c r="H10" i="3"/>
  <c r="G15" i="3"/>
  <c r="I47" i="3"/>
  <c r="BH47" i="3"/>
  <c r="V6" i="3"/>
  <c r="P53" i="3"/>
  <c r="P51" i="3"/>
  <c r="P48" i="3"/>
  <c r="P50" i="3"/>
  <c r="P49" i="3"/>
  <c r="P54" i="3"/>
  <c r="P52" i="3"/>
  <c r="AY5" i="3"/>
  <c r="AB8" i="3"/>
  <c r="AB6" i="3"/>
  <c r="BL53" i="3"/>
  <c r="BL51" i="3"/>
  <c r="BL48" i="3"/>
  <c r="BL54" i="3"/>
  <c r="BL52" i="3"/>
  <c r="BL49" i="3"/>
  <c r="BQ5" i="3"/>
  <c r="BF6" i="3"/>
  <c r="BF8" i="3"/>
  <c r="CH5" i="3"/>
  <c r="AB5" i="3"/>
  <c r="AB7" i="3"/>
  <c r="CF5" i="3"/>
  <c r="BF7" i="3"/>
  <c r="BF5" i="3"/>
  <c r="CB5" i="3"/>
  <c r="AG8" i="3"/>
  <c r="AG6" i="3"/>
  <c r="S5" i="3"/>
  <c r="BV5" i="3"/>
  <c r="AD51" i="3"/>
  <c r="AD49" i="3"/>
  <c r="AD48" i="3"/>
  <c r="AD53" i="3"/>
  <c r="AD54" i="3"/>
  <c r="AD52" i="3"/>
  <c r="AD50" i="3"/>
  <c r="AD55" i="3"/>
  <c r="AA47" i="3"/>
  <c r="CD55" i="3"/>
  <c r="BA55" i="3"/>
  <c r="CD53" i="3"/>
  <c r="P47" i="3"/>
  <c r="W47" i="3"/>
  <c r="AP55" i="3"/>
  <c r="AH53" i="3"/>
  <c r="AT53" i="3"/>
  <c r="BB47" i="3"/>
  <c r="BR55" i="3"/>
  <c r="BH53" i="3"/>
  <c r="AS53" i="3"/>
  <c r="AN55" i="3"/>
  <c r="BL55" i="3"/>
  <c r="BB55" i="3"/>
  <c r="BX47" i="3"/>
  <c r="CD47" i="3"/>
  <c r="AD47" i="3"/>
  <c r="BL47" i="3"/>
  <c r="BW47" i="3"/>
  <c r="AT47" i="3"/>
  <c r="W55" i="3"/>
  <c r="X47" i="3"/>
  <c r="AT55" i="3"/>
  <c r="AH47" i="3"/>
  <c r="BX55" i="3"/>
  <c r="CC47" i="3"/>
  <c r="AH55" i="3"/>
  <c r="BL50" i="3"/>
  <c r="P55" i="3"/>
  <c r="CC55" i="3"/>
  <c r="K14" i="3"/>
  <c r="AZ53" i="3"/>
  <c r="AZ51" i="3"/>
  <c r="AZ55" i="3"/>
  <c r="AZ50" i="3"/>
  <c r="AZ52" i="3"/>
  <c r="AZ54" i="3"/>
  <c r="AZ47" i="3"/>
  <c r="AZ49" i="3"/>
  <c r="AZ48" i="3"/>
  <c r="AB53" i="3"/>
  <c r="AB51" i="3"/>
  <c r="AB54" i="3"/>
  <c r="AB50" i="3"/>
  <c r="AB55" i="3"/>
  <c r="AB52" i="3"/>
  <c r="AB49" i="3"/>
  <c r="AB48" i="3"/>
  <c r="AB47" i="3"/>
  <c r="V51" i="3"/>
  <c r="V47" i="3"/>
  <c r="V52" i="3"/>
  <c r="V48" i="3"/>
  <c r="V50" i="3"/>
  <c r="V49" i="3"/>
  <c r="V54" i="3"/>
  <c r="V55" i="3"/>
  <c r="V53" i="3"/>
  <c r="BU50" i="3"/>
  <c r="AV50" i="3"/>
  <c r="BV50" i="3"/>
  <c r="AF50" i="3"/>
  <c r="BJ50" i="3"/>
  <c r="BI50" i="3"/>
  <c r="BD50" i="3"/>
  <c r="Z50" i="3"/>
  <c r="Y50" i="3"/>
  <c r="CL50" i="3"/>
  <c r="N50" i="3"/>
  <c r="AR50" i="3"/>
  <c r="AL50" i="3"/>
  <c r="AQ50" i="3"/>
  <c r="U50" i="3"/>
  <c r="CG50" i="3"/>
  <c r="CN50" i="3"/>
  <c r="T50" i="3"/>
  <c r="AO50" i="3"/>
  <c r="AM50" i="3"/>
  <c r="BO50" i="3"/>
  <c r="AW50" i="3"/>
  <c r="BK50" i="3"/>
  <c r="CF50" i="3"/>
  <c r="BE50" i="3"/>
  <c r="AX50" i="3"/>
  <c r="O50" i="3"/>
  <c r="BP50" i="3"/>
  <c r="AY50" i="3"/>
  <c r="CH50" i="3"/>
  <c r="CM50" i="3"/>
  <c r="M50" i="3"/>
  <c r="AE50" i="3"/>
  <c r="Q50" i="3"/>
  <c r="AU50" i="3"/>
  <c r="BS50" i="3"/>
  <c r="CB50" i="3"/>
  <c r="BC50" i="3"/>
  <c r="CK50" i="3"/>
  <c r="AI50" i="3"/>
  <c r="BM50" i="3"/>
  <c r="AJ50" i="3"/>
  <c r="AC50" i="3"/>
  <c r="AK50" i="3"/>
  <c r="BY50" i="3"/>
  <c r="BN50" i="3"/>
  <c r="BQ50" i="3"/>
  <c r="BG50" i="3"/>
  <c r="CE50" i="3"/>
  <c r="AS50" i="3"/>
  <c r="BF51" i="3"/>
  <c r="BF47" i="3"/>
  <c r="BF52" i="3"/>
  <c r="BF50" i="3"/>
  <c r="BF49" i="3"/>
  <c r="BF55" i="3"/>
  <c r="BF48" i="3"/>
  <c r="BF54" i="3"/>
  <c r="BF53" i="3"/>
  <c r="BN47" i="3"/>
  <c r="BI47" i="3"/>
  <c r="AC47" i="3"/>
  <c r="CE47" i="3"/>
  <c r="Q47" i="3"/>
  <c r="AY47" i="3"/>
  <c r="AV47" i="3"/>
  <c r="AU47" i="3"/>
  <c r="O47" i="3"/>
  <c r="M47" i="3"/>
  <c r="BY47" i="3"/>
  <c r="U47" i="3"/>
  <c r="BM47" i="3"/>
  <c r="CG47" i="3"/>
  <c r="BK47" i="3"/>
  <c r="BP47" i="3"/>
  <c r="T47" i="3"/>
  <c r="AF47" i="3"/>
  <c r="BO47" i="3"/>
  <c r="BS47" i="3"/>
  <c r="CB47" i="3"/>
  <c r="BE47" i="3"/>
  <c r="BJ47" i="3"/>
  <c r="BD47" i="3"/>
  <c r="N47" i="3"/>
  <c r="AO47" i="3"/>
  <c r="AM47" i="3"/>
  <c r="CL47" i="3"/>
  <c r="BV47" i="3"/>
  <c r="CF47" i="3"/>
  <c r="BU47" i="3"/>
  <c r="Y47" i="3"/>
  <c r="AW47" i="3"/>
  <c r="CM47" i="3"/>
  <c r="CH47" i="3"/>
  <c r="AE47" i="3"/>
  <c r="AJ47" i="3"/>
  <c r="AK47" i="3"/>
  <c r="CK47" i="3"/>
  <c r="Z47" i="3"/>
  <c r="AR47" i="3"/>
  <c r="AQ47" i="3"/>
  <c r="AI47" i="3"/>
  <c r="BQ47" i="3"/>
  <c r="AL47" i="3"/>
  <c r="BC47" i="3"/>
  <c r="CN47" i="3"/>
  <c r="AX47" i="3"/>
  <c r="BG47" i="3"/>
  <c r="CI54" i="3"/>
  <c r="CI52" i="3"/>
  <c r="CI47" i="3"/>
  <c r="CI49" i="3"/>
  <c r="CI48" i="3"/>
  <c r="CI55" i="3"/>
  <c r="CI53" i="3"/>
  <c r="CI50" i="3"/>
  <c r="CI51" i="3"/>
  <c r="AP47" i="3"/>
  <c r="BZ55" i="3"/>
  <c r="BZ51" i="3"/>
  <c r="BZ49" i="3"/>
  <c r="BZ48" i="3"/>
  <c r="BZ54" i="3"/>
  <c r="BZ50" i="3"/>
  <c r="BZ53" i="3"/>
  <c r="BZ52" i="3"/>
  <c r="BZ47" i="3"/>
  <c r="AS47" i="3"/>
  <c r="BT49" i="3"/>
  <c r="BT55" i="3"/>
  <c r="BT53" i="3"/>
  <c r="BT48" i="3"/>
  <c r="BT54" i="3"/>
  <c r="BT50" i="3"/>
  <c r="BT52" i="3"/>
  <c r="BT51" i="3"/>
  <c r="BT47" i="3"/>
  <c r="BI55" i="3"/>
  <c r="AC55" i="3"/>
  <c r="BQ55" i="3"/>
  <c r="BG55" i="3"/>
  <c r="BE55" i="3"/>
  <c r="AX55" i="3"/>
  <c r="CE55" i="3"/>
  <c r="CF55" i="3"/>
  <c r="BU55" i="3"/>
  <c r="AQ55" i="3"/>
  <c r="AJ55" i="3"/>
  <c r="AV55" i="3"/>
  <c r="AU55" i="3"/>
  <c r="AE55" i="3"/>
  <c r="Q55" i="3"/>
  <c r="BM55" i="3"/>
  <c r="BC55" i="3"/>
  <c r="O55" i="3"/>
  <c r="CM55" i="3"/>
  <c r="BN55" i="3"/>
  <c r="U55" i="3"/>
  <c r="M55" i="3"/>
  <c r="AF55" i="3"/>
  <c r="BJ55" i="3"/>
  <c r="BK55" i="3"/>
  <c r="AO55" i="3"/>
  <c r="CG55" i="3"/>
  <c r="BD55" i="3"/>
  <c r="BV55" i="3"/>
  <c r="Y55" i="3"/>
  <c r="AW55" i="3"/>
  <c r="CH55" i="3"/>
  <c r="AY55" i="3"/>
  <c r="AM55" i="3"/>
  <c r="BS55" i="3"/>
  <c r="AR55" i="3"/>
  <c r="CL55" i="3"/>
  <c r="CN55" i="3"/>
  <c r="AK55" i="3"/>
  <c r="N55" i="3"/>
  <c r="AI55" i="3"/>
  <c r="BP55" i="3"/>
  <c r="CK55" i="3"/>
  <c r="Z55" i="3"/>
  <c r="CB55" i="3"/>
  <c r="BO55" i="3"/>
  <c r="T55" i="3"/>
  <c r="AL55" i="3"/>
  <c r="BY55" i="3"/>
  <c r="CA55" i="3"/>
  <c r="AG54" i="3"/>
  <c r="AG52" i="3"/>
  <c r="AG48" i="3"/>
  <c r="AG55" i="3"/>
  <c r="AG53" i="3"/>
  <c r="AG50" i="3"/>
  <c r="AG47" i="3"/>
  <c r="AG49" i="3"/>
  <c r="AG51" i="3"/>
  <c r="H15" i="3"/>
  <c r="BW55" i="3"/>
  <c r="BB50" i="3"/>
  <c r="AA50" i="3"/>
  <c r="S47" i="3"/>
  <c r="AS55" i="3"/>
  <c r="BY53" i="3"/>
  <c r="AO53" i="3"/>
  <c r="BQ53" i="3"/>
  <c r="AK53" i="3"/>
  <c r="BN53" i="3"/>
  <c r="CM53" i="3"/>
  <c r="BI53" i="3"/>
  <c r="BE53" i="3"/>
  <c r="CL53" i="3"/>
  <c r="CK53" i="3"/>
  <c r="BC53" i="3"/>
  <c r="M53" i="3"/>
  <c r="CH53" i="3"/>
  <c r="AV53" i="3"/>
  <c r="AX53" i="3"/>
  <c r="Q53" i="3"/>
  <c r="AE53" i="3"/>
  <c r="CG53" i="3"/>
  <c r="AQ53" i="3"/>
  <c r="CE53" i="3"/>
  <c r="AY53" i="3"/>
  <c r="BG53" i="3"/>
  <c r="AF53" i="3"/>
  <c r="BJ53" i="3"/>
  <c r="BD53" i="3"/>
  <c r="BV53" i="3"/>
  <c r="AM53" i="3"/>
  <c r="Y53" i="3"/>
  <c r="AW53" i="3"/>
  <c r="AR53" i="3"/>
  <c r="AU53" i="3"/>
  <c r="CF53" i="3"/>
  <c r="N53" i="3"/>
  <c r="CN53" i="3"/>
  <c r="AI53" i="3"/>
  <c r="AJ53" i="3"/>
  <c r="BO53" i="3"/>
  <c r="U53" i="3"/>
  <c r="BM53" i="3"/>
  <c r="O53" i="3"/>
  <c r="BP53" i="3"/>
  <c r="BU53" i="3"/>
  <c r="BS53" i="3"/>
  <c r="Z53" i="3"/>
  <c r="BK53" i="3"/>
  <c r="CB53" i="3"/>
  <c r="AC53" i="3"/>
  <c r="T53" i="3"/>
  <c r="AL53" i="3"/>
  <c r="BA47" i="3"/>
  <c r="AN47" i="3"/>
  <c r="CC50" i="3"/>
  <c r="CA47" i="3"/>
  <c r="X53" i="3"/>
  <c r="BR47" i="3"/>
  <c r="I14" i="3"/>
  <c r="X50" i="3"/>
  <c r="CJ53" i="3"/>
  <c r="CJ51" i="3"/>
  <c r="CJ49" i="3"/>
  <c r="CJ47" i="3"/>
  <c r="CJ54" i="3"/>
  <c r="CJ52" i="3"/>
  <c r="CJ55" i="3"/>
  <c r="CJ48" i="3"/>
  <c r="CJ50" i="3"/>
  <c r="AN50" i="3"/>
  <c r="R55" i="3"/>
  <c r="R51" i="3"/>
  <c r="R49" i="3"/>
  <c r="R50" i="3"/>
  <c r="R48" i="3"/>
  <c r="R53" i="3"/>
  <c r="R47" i="3"/>
  <c r="R52" i="3"/>
  <c r="R54" i="3"/>
  <c r="I15" i="3"/>
  <c r="K15" i="3"/>
  <c r="F16" i="3"/>
  <c r="J15" i="3"/>
  <c r="S50" i="3"/>
  <c r="BX50" i="3"/>
  <c r="J16" i="3"/>
  <c r="H16" i="3"/>
  <c r="G16" i="3"/>
  <c r="I16" i="3"/>
  <c r="K16" i="3"/>
  <c r="F17" i="3"/>
  <c r="H17" i="3"/>
  <c r="G17" i="3"/>
  <c r="J17" i="3"/>
  <c r="F13" i="3"/>
  <c r="H13" i="3"/>
  <c r="J13" i="3"/>
  <c r="K17" i="3"/>
  <c r="I17" i="3"/>
  <c r="F19" i="3"/>
  <c r="G13" i="3"/>
  <c r="I13" i="3"/>
  <c r="K13" i="3"/>
  <c r="D13" i="3"/>
  <c r="E9" i="2"/>
  <c r="H19" i="3"/>
  <c r="J19" i="3"/>
  <c r="G19" i="3"/>
  <c r="I19" i="3"/>
  <c r="K19" i="3"/>
  <c r="F20" i="3"/>
  <c r="G20" i="3"/>
  <c r="H20" i="3"/>
  <c r="J20" i="3"/>
  <c r="K20" i="3"/>
  <c r="I20" i="3"/>
  <c r="F21" i="3"/>
  <c r="J21" i="3"/>
  <c r="H21" i="3"/>
  <c r="G21" i="3"/>
  <c r="I21" i="3"/>
  <c r="K21" i="3"/>
  <c r="F22" i="3"/>
  <c r="G22" i="3"/>
  <c r="J22" i="3"/>
  <c r="H22" i="3"/>
  <c r="F18" i="3"/>
  <c r="H18" i="3"/>
  <c r="J18" i="3"/>
  <c r="K22" i="3"/>
  <c r="I22" i="3"/>
  <c r="F24" i="3"/>
  <c r="G18" i="3"/>
  <c r="K18" i="3"/>
  <c r="D18" i="3"/>
  <c r="E14" i="2"/>
  <c r="I18" i="3"/>
  <c r="H24" i="3"/>
  <c r="J24" i="3"/>
  <c r="G24" i="3"/>
  <c r="I24" i="3"/>
  <c r="K24" i="3"/>
  <c r="F25" i="3"/>
  <c r="J25" i="3"/>
  <c r="H25" i="3"/>
  <c r="G25" i="3"/>
  <c r="K25" i="3"/>
  <c r="I25" i="3"/>
  <c r="F26" i="3"/>
  <c r="H26" i="3"/>
  <c r="J26" i="3"/>
  <c r="G26" i="3"/>
  <c r="K26" i="3"/>
  <c r="I26" i="3"/>
  <c r="F27" i="3"/>
  <c r="H27" i="3"/>
  <c r="G27" i="3"/>
  <c r="J27" i="3"/>
  <c r="F23" i="3"/>
  <c r="H23" i="3"/>
  <c r="J23" i="3"/>
  <c r="K27" i="3"/>
  <c r="I27" i="3"/>
  <c r="F29" i="3"/>
  <c r="G23" i="3"/>
  <c r="K23" i="3"/>
  <c r="I23" i="3"/>
  <c r="D23" i="3"/>
  <c r="E19" i="2"/>
  <c r="H29" i="3"/>
  <c r="J29" i="3"/>
  <c r="G29" i="3"/>
  <c r="K29" i="3"/>
  <c r="I29" i="3"/>
  <c r="F30" i="3"/>
  <c r="J30" i="3"/>
  <c r="H30" i="3"/>
  <c r="G30" i="3"/>
  <c r="K30" i="3"/>
  <c r="I30" i="3"/>
  <c r="F31" i="3"/>
  <c r="G31" i="3"/>
  <c r="J31" i="3"/>
  <c r="H31" i="3"/>
  <c r="K31" i="3"/>
  <c r="I31" i="3"/>
  <c r="F32" i="3"/>
  <c r="H32" i="3"/>
  <c r="J32" i="3"/>
  <c r="G32" i="3"/>
  <c r="F28" i="3"/>
  <c r="J28" i="3"/>
  <c r="H28" i="3"/>
  <c r="K32" i="3"/>
  <c r="I32" i="3"/>
  <c r="F34" i="3"/>
  <c r="G28" i="3"/>
  <c r="I28" i="3"/>
  <c r="K28" i="3"/>
  <c r="D28" i="3"/>
  <c r="E24" i="2"/>
  <c r="H34" i="3"/>
  <c r="G34" i="3"/>
  <c r="J34" i="3"/>
  <c r="I34" i="3"/>
  <c r="K34" i="3"/>
  <c r="F35" i="3"/>
  <c r="J35" i="3"/>
  <c r="G35" i="3"/>
  <c r="H35" i="3"/>
  <c r="K35" i="3"/>
  <c r="I35" i="3"/>
  <c r="F36" i="3"/>
  <c r="H36" i="3"/>
  <c r="G36" i="3"/>
  <c r="J36" i="3"/>
  <c r="F33" i="3"/>
  <c r="H33" i="3"/>
  <c r="J33" i="3"/>
  <c r="K36" i="3"/>
  <c r="I36" i="3"/>
  <c r="F38" i="3"/>
  <c r="G33" i="3"/>
  <c r="D33" i="3"/>
  <c r="E29" i="2"/>
  <c r="I33" i="3"/>
  <c r="K33" i="3"/>
  <c r="J38" i="3"/>
  <c r="G38" i="3"/>
  <c r="H38" i="3"/>
  <c r="I38" i="3"/>
  <c r="K38" i="3"/>
  <c r="F39" i="3"/>
  <c r="H39" i="3"/>
  <c r="G39" i="3"/>
  <c r="J39" i="3"/>
  <c r="K39" i="3"/>
  <c r="I39" i="3"/>
  <c r="F40" i="3"/>
  <c r="H40" i="3"/>
  <c r="G40" i="3"/>
  <c r="J40" i="3"/>
  <c r="F37" i="3"/>
  <c r="K40" i="3"/>
  <c r="I40" i="3"/>
  <c r="F42" i="3"/>
  <c r="G37" i="3"/>
  <c r="H37" i="3"/>
  <c r="J37" i="3"/>
  <c r="K37" i="3"/>
  <c r="D37" i="3"/>
  <c r="E33" i="2"/>
  <c r="I37" i="3"/>
  <c r="H42" i="3"/>
  <c r="J42" i="3"/>
  <c r="G42" i="3"/>
  <c r="K42" i="3"/>
  <c r="I42" i="3"/>
  <c r="F44" i="3"/>
  <c r="F43" i="3"/>
  <c r="J44" i="3"/>
  <c r="G44" i="3"/>
  <c r="H44" i="3"/>
  <c r="J43" i="3"/>
  <c r="H43" i="3"/>
  <c r="G43" i="3"/>
  <c r="K43" i="3"/>
  <c r="I43" i="3"/>
  <c r="I44" i="3"/>
  <c r="K44" i="3"/>
  <c r="F45" i="3"/>
  <c r="J45" i="3"/>
  <c r="H45" i="3"/>
  <c r="G45" i="3"/>
  <c r="F41" i="3"/>
  <c r="J41" i="3"/>
  <c r="H41" i="3"/>
  <c r="K45" i="3"/>
  <c r="I45" i="3"/>
  <c r="G41" i="3"/>
  <c r="I41" i="3"/>
  <c r="K41" i="3"/>
  <c r="D41" i="3"/>
  <c r="E37" i="2"/>
  <c r="G11" i="3"/>
  <c r="E43" i="2"/>
  <c r="G12" i="3"/>
  <c r="D12" i="3"/>
  <c r="K12" i="3"/>
  <c r="I12" i="3"/>
  <c r="D11" i="3"/>
  <c r="I11" i="3"/>
  <c r="G10" i="3"/>
  <c r="K11" i="3"/>
  <c r="D10" i="3"/>
  <c r="K10" i="3"/>
  <c r="I10" i="3"/>
</calcChain>
</file>

<file path=xl/sharedStrings.xml><?xml version="1.0" encoding="utf-8"?>
<sst xmlns="http://schemas.openxmlformats.org/spreadsheetml/2006/main" count="337" uniqueCount="167">
  <si>
    <t>Sistem Informasi Pemesanan dan Pengelolaan Toko Kue Lala Berbasis Web</t>
  </si>
  <si>
    <t>Diagram ini terhubung ke sheet Kamus WBS: perubahan kode atau nama paket kerja di sana otomatis tampil di sini.</t>
  </si>
  <si>
    <t>KAMUS WBS (WORK BREAKDOWN STRUCTURE)</t>
  </si>
  <si>
    <t>Sistem Informasi Pemesanan dan Pengelolaan Toko Kue Lala Berbasis Web · Kelompok 4 / 4KA22 · Dokumen 01 Bagian II, butir 5.2</t>
  </si>
  <si>
    <t>PIC ditulis berdasarkan peran pada Bagian I (PM = Project Manager, SA = System Analyst, SD = System Designer; satu anggota dapat memegang lebih dari satu peran). Durasi dalam hari kerja. Angka biru = input yang boleh diubah; Gantt Chart ikut menyesuaikan.</t>
  </si>
  <si>
    <t>Kode</t>
  </si>
  <si>
    <t>Paket Kerja</t>
  </si>
  <si>
    <t>Deliverable</t>
  </si>
  <si>
    <t>PIC (Peran)</t>
  </si>
  <si>
    <t>Durasi (hari kerja)</t>
  </si>
  <si>
    <t>1</t>
  </si>
  <si>
    <t>Manajemen Proyek</t>
  </si>
  <si>
    <t>Notulen, laporan status</t>
  </si>
  <si>
    <t>PM</t>
  </si>
  <si>
    <t>Sepanjang proyek</t>
  </si>
  <si>
    <t>1.1</t>
  </si>
  <si>
    <t>Rapat mingguan tim &amp; klien</t>
  </si>
  <si>
    <t>Notulen rapat</t>
  </si>
  <si>
    <t>1.2</t>
  </si>
  <si>
    <t>Pemantauan jadwal &amp; risiko</t>
  </si>
  <si>
    <t>Gantt (realisasi), daftar risiko</t>
  </si>
  <si>
    <t>2</t>
  </si>
  <si>
    <t>Definisi Proyek</t>
  </si>
  <si>
    <t>Requirement Document</t>
  </si>
  <si>
    <t>SA</t>
  </si>
  <si>
    <t>2.1</t>
  </si>
  <si>
    <t>Identifikasi klien &amp; masalah</t>
  </si>
  <si>
    <t>Hasil wawancara, observasi, studi dokumen</t>
  </si>
  <si>
    <t>2.2</t>
  </si>
  <si>
    <t>Penentuan tujuan, lingkup &amp; batasan</t>
  </si>
  <si>
    <t>Tujuan, ruang lingkup, batasan proyek</t>
  </si>
  <si>
    <t>2.3</t>
  </si>
  <si>
    <t>Alternatif solusi &amp; metodologi</t>
  </si>
  <si>
    <t>Solusi dan metodologi terpilih</t>
  </si>
  <si>
    <t>2.4</t>
  </si>
  <si>
    <t>Penyusunan RD &amp; persetujuan klien</t>
  </si>
  <si>
    <t>RD v1.0, lembar persetujuan klien</t>
  </si>
  <si>
    <t>3</t>
  </si>
  <si>
    <t>Perencanaan</t>
  </si>
  <si>
    <t>Dokumen 01 Bag. II, Gantt Chart</t>
  </si>
  <si>
    <t>3.1</t>
  </si>
  <si>
    <t>Proses bisnis &amp; gambaran sistem</t>
  </si>
  <si>
    <t>Diagram As-Is/To-Be, gambaran sistem</t>
  </si>
  <si>
    <t>3.2</t>
  </si>
  <si>
    <t>Analisis kelayakan</t>
  </si>
  <si>
    <t>Analisis teknis, ekonomi, operasional</t>
  </si>
  <si>
    <t>3.3</t>
  </si>
  <si>
    <t>WBS &amp; Gantt Chart</t>
  </si>
  <si>
    <t>Diagram WBS, kamus WBS, Gantt Chart</t>
  </si>
  <si>
    <t>3.4</t>
  </si>
  <si>
    <t>Dokumen Bagian II &amp; presentasi</t>
  </si>
  <si>
    <t>Dokumen 01 Bag. II, bahan presentasi</t>
  </si>
  <si>
    <t>Tech. Writer</t>
  </si>
  <si>
    <t>4</t>
  </si>
  <si>
    <t>Analisis Kebutuhan</t>
  </si>
  <si>
    <t>SRS</t>
  </si>
  <si>
    <t>4.1</t>
  </si>
  <si>
    <t>Wawancara &amp; observasi lanjutan</t>
  </si>
  <si>
    <t>Catatan kebutuhan rinci</t>
  </si>
  <si>
    <t>4.2</t>
  </si>
  <si>
    <t>Kebutuhan fungsional &amp; non-fungsional</t>
  </si>
  <si>
    <t>Daftar kebutuhan terperinci</t>
  </si>
  <si>
    <t>4.3</t>
  </si>
  <si>
    <t>Prioritas MoSCoW &amp; use case</t>
  </si>
  <si>
    <t>Tabel prioritas, use case diagram</t>
  </si>
  <si>
    <t>4.4</t>
  </si>
  <si>
    <t>Penyusunan &amp; review SRS</t>
  </si>
  <si>
    <t>Dokumen SRS</t>
  </si>
  <si>
    <t>5</t>
  </si>
  <si>
    <t>Desain Sistem</t>
  </si>
  <si>
    <t>SDD</t>
  </si>
  <si>
    <t>SD</t>
  </si>
  <si>
    <t>5.1</t>
  </si>
  <si>
    <t>Perancangan basis data (ERD)</t>
  </si>
  <si>
    <t>ERD, skema basis data MySQL</t>
  </si>
  <si>
    <t>5.2</t>
  </si>
  <si>
    <t>Arsitektur sistem &amp; desain modul</t>
  </si>
  <si>
    <t>Arsitektur, desain modul</t>
  </si>
  <si>
    <t>5.3</t>
  </si>
  <si>
    <t>Desain antarmuka (wireframe)</t>
  </si>
  <si>
    <t>Wireframe desktop &amp; HP</t>
  </si>
  <si>
    <t>5.4</t>
  </si>
  <si>
    <t>Penyusunan SDD</t>
  </si>
  <si>
    <t>Dokumen SDD</t>
  </si>
  <si>
    <t>6</t>
  </si>
  <si>
    <t>Pemrograman</t>
  </si>
  <si>
    <t>Aplikasi, dok. implementasi</t>
  </si>
  <si>
    <t>Programmer</t>
  </si>
  <si>
    <t>6.1</t>
  </si>
  <si>
    <t>Sprint 1 – fitur dasar</t>
  </si>
  <si>
    <t>Akun, katalog, produk (F-01, F-02, F-06); demo</t>
  </si>
  <si>
    <t>6.2</t>
  </si>
  <si>
    <t>Sprint 2 – fitur lanjutan</t>
  </si>
  <si>
    <t>Pemesanan, pembayaran, pesanan (F-03, F-04, F-05); demo</t>
  </si>
  <si>
    <t>6.3</t>
  </si>
  <si>
    <t>Sprint 3 – semua fitur lengkap</t>
  </si>
  <si>
    <t>Stok, penjualan toko, laporan (F-07 s.d. F-09); aplikasi lengkap, dok. implementasi, demo</t>
  </si>
  <si>
    <t>7</t>
  </si>
  <si>
    <t>Pengujian</t>
  </si>
  <si>
    <t>Skenario uji &amp; UAT</t>
  </si>
  <si>
    <t>Tester</t>
  </si>
  <si>
    <t>7.1</t>
  </si>
  <si>
    <t>Pengujian modul &amp; integrasi</t>
  </si>
  <si>
    <t>Skenario uji, hasil uji modul dan integrasi</t>
  </si>
  <si>
    <t>7.2</t>
  </si>
  <si>
    <t>User Acceptance Test (UAT)</t>
  </si>
  <si>
    <t>Hasil UAT bersama klien</t>
  </si>
  <si>
    <t>7.3</t>
  </si>
  <si>
    <t>Perbaikan bug &amp; uji ulang</t>
  </si>
  <si>
    <t>Aplikasi bebas bug kritis</t>
  </si>
  <si>
    <t>8</t>
  </si>
  <si>
    <t>Penerapan</t>
  </si>
  <si>
    <t>User manual, BAST, laporan</t>
  </si>
  <si>
    <t>8.1</t>
  </si>
  <si>
    <t>Deploy final ke hosting klien</t>
  </si>
  <si>
    <t>Aplikasi final di server produksi</t>
  </si>
  <si>
    <t>8.2</t>
  </si>
  <si>
    <t>Pelatihan pengguna</t>
  </si>
  <si>
    <t>Pelatihan 2 sesi (±2 jam) untuk pemilik dan staf</t>
  </si>
  <si>
    <t>8.3</t>
  </si>
  <si>
    <t>User manual &amp; dokumen penerapan</t>
  </si>
  <si>
    <t>User manual, dokumen penerapan</t>
  </si>
  <si>
    <t>8.4</t>
  </si>
  <si>
    <t>BAST &amp; laporan akhir</t>
  </si>
  <si>
    <t>BAST bertanda tangan, laporan akhir</t>
  </si>
  <si>
    <t>Total durasi jadwal (hari kerja, tanpa UTS/UAS)</t>
  </si>
  <si>
    <t>GANTT CHART PROYEK</t>
  </si>
  <si>
    <t>Sistem Informasi Pemesanan dan Pengelolaan Toko Kue Lala Berbasis Web · Kelompok 4 / 4KA22 · Dokumen 01 Bagian II, butir 6</t>
  </si>
  <si>
    <t>Tanggal mulai proyek (Senin, Minggu 1)</t>
  </si>
  <si>
    <t>← input (kuning): ubah bila tanggal Minggu 1 berbeda</t>
  </si>
  <si>
    <t>Minggu UTS / UAS (tanpa pekerjaan)</t>
  </si>
  <si>
    <t>baris bantu: hari kerja efektif per kolom (disembunyikan)</t>
  </si>
  <si>
    <t>baris bantu: tanggal per kolom (disembunyikan)</t>
  </si>
  <si>
    <t>Paket Kerja / Tugas</t>
  </si>
  <si>
    <t>PIC</t>
  </si>
  <si>
    <t>Durasi (hari)</t>
  </si>
  <si>
    <t>Pendahulu</t>
  </si>
  <si>
    <t>Hari Mulai*</t>
  </si>
  <si>
    <t>Hari Selesai*</t>
  </si>
  <si>
    <t>Tgl Mulai</t>
  </si>
  <si>
    <t>Tgl Selesai</t>
  </si>
  <si>
    <t>Mg Mulai</t>
  </si>
  <si>
    <t>Mg Selesai</t>
  </si>
  <si>
    <t>Realisasi</t>
  </si>
  <si>
    <t>S</t>
  </si>
  <si>
    <t>R</t>
  </si>
  <si>
    <t>K</t>
  </si>
  <si>
    <t>J</t>
  </si>
  <si>
    <t>—</t>
  </si>
  <si>
    <t>Belum</t>
  </si>
  <si>
    <t>Milestone</t>
  </si>
  <si>
    <t>Keterangan</t>
  </si>
  <si>
    <t>Paket kerja (level 1, ringkasan)</t>
  </si>
  <si>
    <t>Tugas (level 2)</t>
  </si>
  <si>
    <t>Status ✓ Selesai</t>
  </si>
  <si>
    <t>Status Terlambat</t>
  </si>
  <si>
    <t>Status Revisi</t>
  </si>
  <si>
    <t>Minggu UTS / UAS (tidak dijadwalkan)</t>
  </si>
  <si>
    <t>Hari ini</t>
  </si>
  <si>
    <t>◆</t>
  </si>
  <si>
    <t>Milestone (Jumat pada minggu pencapaian)</t>
  </si>
  <si>
    <t>* Hari ke- dihitung dalam hari kerja efektif (Senin–Jumat), tidak termasuk Minggu UTS dan UAS.</t>
  </si>
  <si>
    <t>Cara memperbarui: ubah kolom Realisasi (L) sesuai status Bagian II butir 7; warna batang ikut berubah. Durasi diubah di sheet Kamus WBS (sel biru); tanggal mulai Minggu 1 di sel C3.</t>
  </si>
  <si>
    <t>Asumsi jadwal: 1 minggu = 5 hari kerja; hari libur nasional tidak diperhitungkan; semua hubungan antartugas finish-to-start (mulai sehari setelah pendahulu selesai); Minggu 11 (UTS) dan 16 (UAS) tidak dijadwalkan.</t>
  </si>
  <si>
    <t>Tanggal Minggu 1 = 05/10/2026 mengikuti Tabel 6.1 Bagian II. Tanggal tiap tugas dihitung otomatis dari nomor minggu, sehingga bisa berbeda dari kolom tanggal pada Tabel 6.1 (yang tidak konsisten dengan nomor mingguannya).</t>
  </si>
  <si>
    <t>Tugas 8.2 (Pelatihan) dan 8.3 (User manual) berjalan paralel setelah 8.1, mengikuti Gambar 6.1.</t>
  </si>
  <si>
    <t>✓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</si>
</sst>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i/>
      <sz val="8"/>
      <color rgb="FF7F7F7F"/>
      <name val="Arial"/>
      <charset val="1"/>
    </font>
    <font>
      <b/>
      <sz val="14"/>
      <color rgb="FF1F3864"/>
      <name val="Arial"/>
      <charset val="1"/>
    </font>
    <font>
      <sz val="9"/>
      <color rgb="FF595959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0000FF"/>
      <name val="Arial"/>
      <charset val="1"/>
    </font>
    <font>
      <i/>
      <sz val="7"/>
      <color rgb="FF7F7F7F"/>
      <name val="Arial"/>
      <charset val="1"/>
    </font>
    <font>
      <sz val="7"/>
      <color rgb="FF008000"/>
      <name val="Arial"/>
      <charset val="1"/>
    </font>
    <font>
      <b/>
      <sz val="9"/>
      <color rgb="FFFFFFFF"/>
      <name val="Arial"/>
      <charset val="1"/>
    </font>
    <font>
      <sz val="7"/>
      <color rgb="FFFFFFFF"/>
      <name val="Arial"/>
      <charset val="1"/>
    </font>
    <font>
      <b/>
      <sz val="9"/>
      <color rgb="FF008000"/>
      <name val="Arial"/>
      <charset val="1"/>
    </font>
    <font>
      <sz val="9"/>
      <color rgb="FF008000"/>
      <name val="Arial"/>
      <charset val="1"/>
    </font>
    <font>
      <b/>
      <sz val="9"/>
      <color rgb="FFC00000"/>
      <name val="Arial"/>
      <charset val="1"/>
    </font>
    <font>
      <i/>
      <sz val="8"/>
      <color rgb="FF40404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EEF3FA"/>
      </patternFill>
    </fill>
    <fill>
      <patternFill patternType="solid">
        <fgColor rgb="FFFFFF00"/>
        <bgColor rgb="FFFFFF00"/>
      </patternFill>
    </fill>
    <fill>
      <patternFill patternType="solid">
        <fgColor rgb="FFEEF3FA"/>
        <bgColor rgb="FFFFFFFF"/>
      </patternFill>
    </fill>
    <fill>
      <patternFill patternType="solid">
        <fgColor rgb="FF4A86D8"/>
        <bgColor rgb="FF7F7F7F"/>
      </patternFill>
    </fill>
    <fill>
      <patternFill patternType="solid">
        <fgColor rgb="FF70AD47"/>
        <bgColor rgb="FF99CC00"/>
      </patternFill>
    </fill>
    <fill>
      <patternFill patternType="solid">
        <fgColor rgb="FFE74C3C"/>
        <bgColor rgb="FFFF8080"/>
      </patternFill>
    </fill>
    <fill>
      <patternFill patternType="solid">
        <fgColor rgb="FFF5A623"/>
        <bgColor rgb="FFFFCC00"/>
      </patternFill>
    </fill>
    <fill>
      <patternFill patternType="solid">
        <fgColor rgb="FFD9D9D9"/>
        <bgColor rgb="FFD9E2F3"/>
      </patternFill>
    </fill>
    <fill>
      <patternFill patternType="solid">
        <fgColor rgb="FFFCE4D6"/>
        <bgColor rgb="FFEEF3FA"/>
      </patternFill>
    </fill>
  </fills>
  <borders count="21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BFBFBF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808080"/>
      </right>
      <top/>
      <bottom style="thin">
        <color rgb="FFD9D9D9"/>
      </bottom>
      <diagonal/>
    </border>
    <border>
      <left style="thin">
        <color rgb="FFBFBFBF"/>
      </left>
      <right/>
      <top/>
      <bottom style="thin">
        <color rgb="FFD9D9D9"/>
      </bottom>
      <diagonal/>
    </border>
    <border>
      <left/>
      <right/>
      <top style="thin">
        <color rgb="FF808080"/>
      </top>
      <bottom style="thin">
        <color rgb="FFD9D9D9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wrapText="1"/>
    </xf>
    <xf numFmtId="1" fontId="9" fillId="3" borderId="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1" fontId="3" fillId="0" borderId="7" xfId="0" applyNumberFormat="1" applyFont="1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 indent="1"/>
    </xf>
    <xf numFmtId="1" fontId="11" fillId="0" borderId="8" xfId="0" applyNumberFormat="1" applyFont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 applyAlignment="1">
      <alignment horizontal="center" vertical="center" wrapText="1"/>
    </xf>
    <xf numFmtId="14" fontId="13" fillId="5" borderId="6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14" fontId="12" fillId="3" borderId="15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5" xfId="0" applyFill="1" applyBorder="1"/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5" xfId="0" applyBorder="1"/>
    <xf numFmtId="1" fontId="19" fillId="0" borderId="15" xfId="0" applyNumberFormat="1" applyFont="1" applyBorder="1" applyAlignment="1">
      <alignment horizontal="center" vertical="center"/>
    </xf>
    <xf numFmtId="0" fontId="2" fillId="3" borderId="18" xfId="0" applyFont="1" applyFill="1" applyBorder="1"/>
    <xf numFmtId="0" fontId="0" fillId="3" borderId="18" xfId="0" applyFill="1" applyBorder="1"/>
    <xf numFmtId="0" fontId="18" fillId="0" borderId="14" xfId="0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" fillId="0" borderId="0" xfId="0" applyFont="1"/>
    <xf numFmtId="0" fontId="0" fillId="2" borderId="6" xfId="0" applyFill="1" applyBorder="1"/>
    <xf numFmtId="0" fontId="3" fillId="0" borderId="0" xfId="0" applyFont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20" fillId="0" borderId="0" xfId="0" applyFont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164" fontId="17" fillId="2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10"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>
          <bgColor rgb="FF4A86D8"/>
        </patternFill>
      </fill>
    </dxf>
    <dxf>
      <fill>
        <patternFill>
          <bgColor rgb="FF1F3864"/>
        </patternFill>
      </fill>
    </dxf>
    <dxf>
      <fill>
        <patternFill>
          <bgColor rgb="FFF5A623"/>
        </patternFill>
      </fill>
    </dxf>
    <dxf>
      <fill>
        <patternFill>
          <bgColor rgb="FFE74C3C"/>
        </patternFill>
      </fill>
    </dxf>
    <dxf>
      <fill>
        <patternFill>
          <bgColor rgb="FF70AD47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EEF3FA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86D8"/>
      <rgbColor rgb="FF33CCCC"/>
      <rgbColor rgb="FF99CC00"/>
      <rgbColor rgb="FFFFCC00"/>
      <rgbColor rgb="FFF5A623"/>
      <rgbColor rgb="FFE74C3C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Q21"/>
  <sheetViews>
    <sheetView showGridLines="0" zoomScale="80" zoomScaleNormal="80" workbookViewId="0">
      <selection activeCell="E33" sqref="E33"/>
    </sheetView>
  </sheetViews>
  <sheetFormatPr defaultColWidth="8.5703125" defaultRowHeight="15" x14ac:dyDescent="0.25"/>
  <cols>
    <col min="1" max="1" width="2" customWidth="1"/>
    <col min="2" max="2" width="3" customWidth="1"/>
    <col min="3" max="3" width="26" customWidth="1"/>
    <col min="4" max="4" width="3" customWidth="1"/>
    <col min="5" max="5" width="26" customWidth="1"/>
    <col min="6" max="6" width="3" customWidth="1"/>
    <col min="7" max="7" width="26" customWidth="1"/>
    <col min="8" max="8" width="3" customWidth="1"/>
    <col min="9" max="9" width="26" customWidth="1"/>
    <col min="10" max="10" width="3" customWidth="1"/>
    <col min="11" max="11" width="26" customWidth="1"/>
    <col min="12" max="12" width="3" customWidth="1"/>
    <col min="13" max="13" width="26" customWidth="1"/>
    <col min="14" max="14" width="3" customWidth="1"/>
    <col min="15" max="15" width="26" customWidth="1"/>
    <col min="16" max="16" width="3" customWidth="1"/>
    <col min="17" max="17" width="26" customWidth="1"/>
  </cols>
  <sheetData>
    <row r="1" spans="2:17" ht="6" customHeight="1" x14ac:dyDescent="0.25"/>
    <row r="2" spans="2:17" ht="21.75" customHeight="1" x14ac:dyDescent="0.25">
      <c r="H2" s="76" t="s">
        <v>0</v>
      </c>
      <c r="I2" s="76"/>
      <c r="J2" s="76"/>
      <c r="K2" s="76"/>
    </row>
    <row r="3" spans="2:17" ht="21.75" customHeight="1" x14ac:dyDescent="0.25">
      <c r="H3" s="76"/>
      <c r="I3" s="76"/>
      <c r="J3" s="76"/>
      <c r="K3" s="76"/>
    </row>
    <row r="4" spans="2:17" ht="12" customHeight="1" x14ac:dyDescent="0.25"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1"/>
    </row>
    <row r="5" spans="2:17" ht="9.75" customHeight="1" x14ac:dyDescent="0.25">
      <c r="B5" s="3"/>
      <c r="D5" s="3"/>
      <c r="F5" s="3"/>
      <c r="H5" s="3"/>
      <c r="J5" s="3"/>
      <c r="L5" s="3"/>
      <c r="N5" s="3"/>
      <c r="P5" s="3"/>
    </row>
    <row r="6" spans="2:17" ht="19.5" customHeight="1" x14ac:dyDescent="0.25">
      <c r="B6" s="2"/>
      <c r="C6" s="77" t="str">
        <f>'Kamus WBS'!A6&amp;CHAR(10)&amp;'Kamus WBS'!B6</f>
        <v>1
Manajemen Proyek</v>
      </c>
      <c r="D6" s="2"/>
      <c r="E6" s="77" t="str">
        <f>'Kamus WBS'!A9&amp;CHAR(10)&amp;'Kamus WBS'!B9</f>
        <v>2
Definisi Proyek</v>
      </c>
      <c r="F6" s="2"/>
      <c r="G6" s="77" t="str">
        <f>'Kamus WBS'!A14&amp;CHAR(10)&amp;'Kamus WBS'!B14</f>
        <v>3
Perencanaan</v>
      </c>
      <c r="H6" s="2"/>
      <c r="I6" s="77" t="str">
        <f>'Kamus WBS'!A19&amp;CHAR(10)&amp;'Kamus WBS'!B19</f>
        <v>4
Analisis Kebutuhan</v>
      </c>
      <c r="J6" s="2"/>
      <c r="K6" s="77" t="str">
        <f>'Kamus WBS'!A24&amp;CHAR(10)&amp;'Kamus WBS'!B24</f>
        <v>5
Desain Sistem</v>
      </c>
      <c r="L6" s="2"/>
      <c r="M6" s="77" t="str">
        <f>'Kamus WBS'!A29&amp;CHAR(10)&amp;'Kamus WBS'!B29</f>
        <v>6
Pemrograman</v>
      </c>
      <c r="N6" s="2"/>
      <c r="O6" s="77" t="str">
        <f>'Kamus WBS'!A33&amp;CHAR(10)&amp;'Kamus WBS'!B33</f>
        <v>7
Pengujian</v>
      </c>
      <c r="P6" s="2"/>
      <c r="Q6" s="77" t="str">
        <f>'Kamus WBS'!A37&amp;CHAR(10)&amp;'Kamus WBS'!B37</f>
        <v>8
Penerapan</v>
      </c>
    </row>
    <row r="7" spans="2:17" ht="19.5" customHeight="1" x14ac:dyDescent="0.25">
      <c r="B7" s="3"/>
      <c r="C7" s="77"/>
      <c r="D7" s="3"/>
      <c r="E7" s="77"/>
      <c r="F7" s="3"/>
      <c r="G7" s="77"/>
      <c r="H7" s="3"/>
      <c r="I7" s="77"/>
      <c r="J7" s="3"/>
      <c r="K7" s="77"/>
      <c r="L7" s="3"/>
      <c r="M7" s="77"/>
      <c r="N7" s="3"/>
      <c r="O7" s="77"/>
      <c r="P7" s="3"/>
      <c r="Q7" s="77"/>
    </row>
    <row r="8" spans="2:17" ht="7.5" customHeight="1" x14ac:dyDescent="0.25">
      <c r="B8" s="3"/>
      <c r="D8" s="3"/>
      <c r="F8" s="3"/>
      <c r="H8" s="3"/>
      <c r="J8" s="3"/>
      <c r="L8" s="3"/>
      <c r="N8" s="3"/>
      <c r="P8" s="3"/>
    </row>
    <row r="9" spans="2:17" ht="19.5" customHeight="1" x14ac:dyDescent="0.25">
      <c r="B9" s="2"/>
      <c r="C9" s="78" t="str">
        <f>'Kamus WBS'!A7&amp;CHAR(10)&amp;'Kamus WBS'!B7</f>
        <v>1.1
Rapat mingguan tim &amp; klien</v>
      </c>
      <c r="D9" s="2"/>
      <c r="E9" s="78" t="str">
        <f>'Kamus WBS'!A10&amp;CHAR(10)&amp;'Kamus WBS'!B10</f>
        <v>2.1
Identifikasi klien &amp; masalah</v>
      </c>
      <c r="F9" s="2"/>
      <c r="G9" s="78" t="str">
        <f>'Kamus WBS'!A15&amp;CHAR(10)&amp;'Kamus WBS'!B15</f>
        <v>3.1
Proses bisnis &amp; gambaran sistem</v>
      </c>
      <c r="H9" s="2"/>
      <c r="I9" s="78" t="str">
        <f>'Kamus WBS'!A20&amp;CHAR(10)&amp;'Kamus WBS'!B20</f>
        <v>4.1
Wawancara &amp; observasi lanjutan</v>
      </c>
      <c r="J9" s="2"/>
      <c r="K9" s="78" t="str">
        <f>'Kamus WBS'!A25&amp;CHAR(10)&amp;'Kamus WBS'!B25</f>
        <v>5.1
Perancangan basis data (ERD)</v>
      </c>
      <c r="L9" s="2"/>
      <c r="M9" s="78" t="str">
        <f>'Kamus WBS'!A30&amp;CHAR(10)&amp;'Kamus WBS'!B30</f>
        <v>6.1
Sprint 1 – fitur dasar</v>
      </c>
      <c r="N9" s="2"/>
      <c r="O9" s="78" t="str">
        <f>'Kamus WBS'!A34&amp;CHAR(10)&amp;'Kamus WBS'!B34</f>
        <v>7.1
Pengujian modul &amp; integrasi</v>
      </c>
      <c r="P9" s="2"/>
      <c r="Q9" s="78" t="str">
        <f>'Kamus WBS'!A38&amp;CHAR(10)&amp;'Kamus WBS'!B38</f>
        <v>8.1
Deploy final ke hosting klien</v>
      </c>
    </row>
    <row r="10" spans="2:17" ht="19.5" customHeight="1" x14ac:dyDescent="0.25">
      <c r="B10" s="3"/>
      <c r="C10" s="78"/>
      <c r="D10" s="3"/>
      <c r="E10" s="78"/>
      <c r="F10" s="3"/>
      <c r="G10" s="78"/>
      <c r="H10" s="3"/>
      <c r="I10" s="78"/>
      <c r="J10" s="3"/>
      <c r="K10" s="78"/>
      <c r="L10" s="3"/>
      <c r="M10" s="78"/>
      <c r="N10" s="3"/>
      <c r="O10" s="78"/>
      <c r="P10" s="3"/>
      <c r="Q10" s="78"/>
    </row>
    <row r="11" spans="2:17" ht="7.5" customHeight="1" x14ac:dyDescent="0.25">
      <c r="B11" s="3"/>
      <c r="D11" s="3"/>
      <c r="F11" s="3"/>
      <c r="H11" s="3"/>
      <c r="J11" s="3"/>
      <c r="L11" s="3"/>
      <c r="N11" s="3"/>
      <c r="P11" s="3"/>
    </row>
    <row r="12" spans="2:17" ht="19.5" customHeight="1" x14ac:dyDescent="0.25">
      <c r="B12" s="2"/>
      <c r="C12" s="78" t="str">
        <f>'Kamus WBS'!A8&amp;CHAR(10)&amp;'Kamus WBS'!B8</f>
        <v>1.2
Pemantauan jadwal &amp; risiko</v>
      </c>
      <c r="D12" s="2"/>
      <c r="E12" s="78" t="str">
        <f>'Kamus WBS'!A11&amp;CHAR(10)&amp;'Kamus WBS'!B11</f>
        <v>2.2
Penentuan tujuan, lingkup &amp; batasan</v>
      </c>
      <c r="F12" s="2"/>
      <c r="G12" s="78" t="str">
        <f>'Kamus WBS'!A16&amp;CHAR(10)&amp;'Kamus WBS'!B16</f>
        <v>3.2
Analisis kelayakan</v>
      </c>
      <c r="H12" s="2"/>
      <c r="I12" s="78" t="str">
        <f>'Kamus WBS'!A21&amp;CHAR(10)&amp;'Kamus WBS'!B21</f>
        <v>4.2
Kebutuhan fungsional &amp; non-fungsional</v>
      </c>
      <c r="J12" s="2"/>
      <c r="K12" s="78" t="str">
        <f>'Kamus WBS'!A26&amp;CHAR(10)&amp;'Kamus WBS'!B26</f>
        <v>5.2
Arsitektur sistem &amp; desain modul</v>
      </c>
      <c r="L12" s="2"/>
      <c r="M12" s="78" t="str">
        <f>'Kamus WBS'!A31&amp;CHAR(10)&amp;'Kamus WBS'!B31</f>
        <v>6.2
Sprint 2 – fitur lanjutan</v>
      </c>
      <c r="N12" s="2"/>
      <c r="O12" s="78" t="str">
        <f>'Kamus WBS'!A35&amp;CHAR(10)&amp;'Kamus WBS'!B35</f>
        <v>7.2
User Acceptance Test (UAT)</v>
      </c>
      <c r="P12" s="2"/>
      <c r="Q12" s="78" t="str">
        <f>'Kamus WBS'!A39&amp;CHAR(10)&amp;'Kamus WBS'!B39</f>
        <v>8.2
Pelatihan pengguna</v>
      </c>
    </row>
    <row r="13" spans="2:17" ht="19.5" customHeight="1" x14ac:dyDescent="0.25">
      <c r="B13" s="3"/>
      <c r="C13" s="78"/>
      <c r="D13" s="3"/>
      <c r="E13" s="78"/>
      <c r="F13" s="3"/>
      <c r="G13" s="78"/>
      <c r="H13" s="3"/>
      <c r="I13" s="78"/>
      <c r="J13" s="3"/>
      <c r="K13" s="78"/>
      <c r="L13" s="3"/>
      <c r="M13" s="78"/>
      <c r="N13" s="3"/>
      <c r="O13" s="78"/>
      <c r="P13" s="3"/>
      <c r="Q13" s="78"/>
    </row>
    <row r="14" spans="2:17" ht="7.5" customHeight="1" x14ac:dyDescent="0.25">
      <c r="D14" s="3"/>
      <c r="F14" s="3"/>
      <c r="H14" s="3"/>
      <c r="J14" s="3"/>
      <c r="L14" s="3"/>
      <c r="N14" s="3"/>
      <c r="P14" s="3"/>
    </row>
    <row r="15" spans="2:17" ht="19.5" customHeight="1" x14ac:dyDescent="0.25">
      <c r="D15" s="2"/>
      <c r="E15" s="78" t="str">
        <f>'Kamus WBS'!A12&amp;CHAR(10)&amp;'Kamus WBS'!B12</f>
        <v>2.3
Alternatif solusi &amp; metodologi</v>
      </c>
      <c r="F15" s="2"/>
      <c r="G15" s="78" t="str">
        <f>'Kamus WBS'!A17&amp;CHAR(10)&amp;'Kamus WBS'!B17</f>
        <v>3.3
WBS &amp; Gantt Chart</v>
      </c>
      <c r="H15" s="2"/>
      <c r="I15" s="78" t="str">
        <f>'Kamus WBS'!A22&amp;CHAR(10)&amp;'Kamus WBS'!B22</f>
        <v>4.3
Prioritas MoSCoW &amp; use case</v>
      </c>
      <c r="J15" s="2"/>
      <c r="K15" s="78" t="str">
        <f>'Kamus WBS'!A27&amp;CHAR(10)&amp;'Kamus WBS'!B27</f>
        <v>5.3
Desain antarmuka (wireframe)</v>
      </c>
      <c r="L15" s="2"/>
      <c r="M15" s="78" t="str">
        <f>'Kamus WBS'!A32&amp;CHAR(10)&amp;'Kamus WBS'!B32</f>
        <v>6.3
Sprint 3 – semua fitur lengkap</v>
      </c>
      <c r="N15" s="2"/>
      <c r="O15" s="78" t="str">
        <f>'Kamus WBS'!A36&amp;CHAR(10)&amp;'Kamus WBS'!B36</f>
        <v>7.3
Perbaikan bug &amp; uji ulang</v>
      </c>
      <c r="P15" s="2"/>
      <c r="Q15" s="78" t="str">
        <f>'Kamus WBS'!A40&amp;CHAR(10)&amp;'Kamus WBS'!B40</f>
        <v>8.3
User manual &amp; dokumen penerapan</v>
      </c>
    </row>
    <row r="16" spans="2:17" ht="19.5" customHeight="1" x14ac:dyDescent="0.25">
      <c r="D16" s="3"/>
      <c r="E16" s="78"/>
      <c r="F16" s="3"/>
      <c r="G16" s="78"/>
      <c r="H16" s="3"/>
      <c r="I16" s="78"/>
      <c r="J16" s="3"/>
      <c r="K16" s="78"/>
      <c r="L16" s="3"/>
      <c r="M16" s="78"/>
      <c r="N16" s="3"/>
      <c r="O16" s="78"/>
      <c r="P16" s="3"/>
      <c r="Q16" s="78"/>
    </row>
    <row r="17" spans="1:17" ht="7.5" customHeight="1" x14ac:dyDescent="0.25">
      <c r="D17" s="3"/>
      <c r="F17" s="3"/>
      <c r="H17" s="3"/>
      <c r="J17" s="3"/>
      <c r="P17" s="3"/>
    </row>
    <row r="18" spans="1:17" ht="19.5" customHeight="1" x14ac:dyDescent="0.25">
      <c r="D18" s="2"/>
      <c r="E18" s="78" t="str">
        <f>'Kamus WBS'!A13&amp;CHAR(10)&amp;'Kamus WBS'!B13</f>
        <v>2.4
Penyusunan RD &amp; persetujuan klien</v>
      </c>
      <c r="F18" s="2"/>
      <c r="G18" s="78" t="str">
        <f>'Kamus WBS'!A18&amp;CHAR(10)&amp;'Kamus WBS'!B18</f>
        <v>3.4
Dokumen Bagian II &amp; presentasi</v>
      </c>
      <c r="H18" s="2"/>
      <c r="I18" s="78" t="str">
        <f>'Kamus WBS'!A23&amp;CHAR(10)&amp;'Kamus WBS'!B23</f>
        <v>4.4
Penyusunan &amp; review SRS</v>
      </c>
      <c r="J18" s="2"/>
      <c r="K18" s="78" t="str">
        <f>'Kamus WBS'!A28&amp;CHAR(10)&amp;'Kamus WBS'!B28</f>
        <v>5.4
Penyusunan SDD</v>
      </c>
      <c r="P18" s="2"/>
      <c r="Q18" s="78" t="str">
        <f>'Kamus WBS'!A41&amp;CHAR(10)&amp;'Kamus WBS'!B41</f>
        <v>8.4
BAST &amp; laporan akhir</v>
      </c>
    </row>
    <row r="19" spans="1:17" ht="19.5" customHeight="1" x14ac:dyDescent="0.25">
      <c r="D19" s="3"/>
      <c r="E19" s="78"/>
      <c r="F19" s="3"/>
      <c r="G19" s="78"/>
      <c r="H19" s="3"/>
      <c r="I19" s="78"/>
      <c r="J19" s="3"/>
      <c r="K19" s="78"/>
      <c r="P19" s="3"/>
      <c r="Q19" s="78"/>
    </row>
    <row r="21" spans="1:17" x14ac:dyDescent="0.25">
      <c r="A21" s="4" t="s">
        <v>1</v>
      </c>
    </row>
  </sheetData>
  <mergeCells count="37">
    <mergeCell ref="E18:E19"/>
    <mergeCell ref="G18:G19"/>
    <mergeCell ref="I18:I19"/>
    <mergeCell ref="K18:K19"/>
    <mergeCell ref="Q18:Q19"/>
    <mergeCell ref="M12:M13"/>
    <mergeCell ref="O12:O13"/>
    <mergeCell ref="Q12:Q13"/>
    <mergeCell ref="E15:E16"/>
    <mergeCell ref="G15:G16"/>
    <mergeCell ref="I15:I16"/>
    <mergeCell ref="K15:K16"/>
    <mergeCell ref="M15:M16"/>
    <mergeCell ref="O15:O16"/>
    <mergeCell ref="Q15:Q16"/>
    <mergeCell ref="C12:C13"/>
    <mergeCell ref="E12:E13"/>
    <mergeCell ref="G12:G13"/>
    <mergeCell ref="I12:I13"/>
    <mergeCell ref="K12:K13"/>
    <mergeCell ref="M6:M7"/>
    <mergeCell ref="O6:O7"/>
    <mergeCell ref="Q6:Q7"/>
    <mergeCell ref="C9:C10"/>
    <mergeCell ref="E9:E10"/>
    <mergeCell ref="G9:G10"/>
    <mergeCell ref="I9:I10"/>
    <mergeCell ref="K9:K10"/>
    <mergeCell ref="M9:M10"/>
    <mergeCell ref="O9:O10"/>
    <mergeCell ref="Q9:Q10"/>
    <mergeCell ref="H2:K3"/>
    <mergeCell ref="C6:C7"/>
    <mergeCell ref="E6:E7"/>
    <mergeCell ref="G6:G7"/>
    <mergeCell ref="I6:I7"/>
    <mergeCell ref="K6:K7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D8"/>
    <pageSetUpPr fitToPage="1"/>
  </sheetPr>
  <dimension ref="A1:E43"/>
  <sheetViews>
    <sheetView showGridLines="0" zoomScaleNormal="100" workbookViewId="0">
      <pane ySplit="5" topLeftCell="A27" activePane="bottomLeft" state="frozen"/>
      <selection pane="bottomLeft"/>
    </sheetView>
  </sheetViews>
  <sheetFormatPr defaultColWidth="8.5703125" defaultRowHeight="15" x14ac:dyDescent="0.25"/>
  <cols>
    <col min="1" max="1" width="8" customWidth="1"/>
    <col min="2" max="2" width="42" customWidth="1"/>
    <col min="3" max="3" width="64" customWidth="1"/>
    <col min="4" max="4" width="16" customWidth="1"/>
    <col min="5" max="5" width="20" customWidth="1"/>
  </cols>
  <sheetData>
    <row r="1" spans="1:5" ht="18" x14ac:dyDescent="0.25">
      <c r="A1" s="5" t="s">
        <v>2</v>
      </c>
    </row>
    <row r="2" spans="1:5" x14ac:dyDescent="0.25">
      <c r="A2" s="6" t="s">
        <v>3</v>
      </c>
    </row>
    <row r="3" spans="1:5" ht="37.5" customHeight="1" x14ac:dyDescent="0.25">
      <c r="A3" s="79" t="s">
        <v>4</v>
      </c>
      <c r="B3" s="79"/>
      <c r="C3" s="79"/>
      <c r="D3" s="79"/>
      <c r="E3" s="79"/>
    </row>
    <row r="5" spans="1:5" ht="25.5" customHeight="1" x14ac:dyDescent="0.25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</row>
    <row r="6" spans="1:5" ht="18" customHeight="1" x14ac:dyDescent="0.25">
      <c r="A6" s="8" t="s">
        <v>10</v>
      </c>
      <c r="B6" s="9" t="s">
        <v>11</v>
      </c>
      <c r="C6" s="9" t="s">
        <v>12</v>
      </c>
      <c r="D6" s="8" t="s">
        <v>13</v>
      </c>
      <c r="E6" s="10" t="s">
        <v>14</v>
      </c>
    </row>
    <row r="7" spans="1:5" ht="15.75" customHeight="1" x14ac:dyDescent="0.25">
      <c r="A7" s="11" t="s">
        <v>15</v>
      </c>
      <c r="B7" s="12" t="s">
        <v>16</v>
      </c>
      <c r="C7" s="12" t="s">
        <v>17</v>
      </c>
      <c r="D7" s="11" t="s">
        <v>13</v>
      </c>
      <c r="E7" s="13" t="s">
        <v>14</v>
      </c>
    </row>
    <row r="8" spans="1:5" ht="15.75" customHeight="1" x14ac:dyDescent="0.25">
      <c r="A8" s="11" t="s">
        <v>18</v>
      </c>
      <c r="B8" s="12" t="s">
        <v>19</v>
      </c>
      <c r="C8" s="12" t="s">
        <v>20</v>
      </c>
      <c r="D8" s="11" t="s">
        <v>13</v>
      </c>
      <c r="E8" s="13" t="s">
        <v>14</v>
      </c>
    </row>
    <row r="9" spans="1:5" ht="18" customHeight="1" x14ac:dyDescent="0.25">
      <c r="A9" s="8" t="s">
        <v>21</v>
      </c>
      <c r="B9" s="9" t="s">
        <v>22</v>
      </c>
      <c r="C9" s="9" t="s">
        <v>23</v>
      </c>
      <c r="D9" s="8" t="s">
        <v>24</v>
      </c>
      <c r="E9" s="14">
        <f>'Gantt Chart'!D13</f>
        <v>10</v>
      </c>
    </row>
    <row r="10" spans="1:5" ht="15.75" customHeight="1" x14ac:dyDescent="0.25">
      <c r="A10" s="11" t="s">
        <v>25</v>
      </c>
      <c r="B10" s="12" t="s">
        <v>26</v>
      </c>
      <c r="C10" s="12" t="s">
        <v>27</v>
      </c>
      <c r="D10" s="11" t="s">
        <v>24</v>
      </c>
      <c r="E10" s="15">
        <v>3</v>
      </c>
    </row>
    <row r="11" spans="1:5" ht="15.75" customHeight="1" x14ac:dyDescent="0.25">
      <c r="A11" s="11" t="s">
        <v>28</v>
      </c>
      <c r="B11" s="12" t="s">
        <v>29</v>
      </c>
      <c r="C11" s="12" t="s">
        <v>30</v>
      </c>
      <c r="D11" s="11" t="s">
        <v>24</v>
      </c>
      <c r="E11" s="15">
        <v>2</v>
      </c>
    </row>
    <row r="12" spans="1:5" ht="15.75" customHeight="1" x14ac:dyDescent="0.25">
      <c r="A12" s="11" t="s">
        <v>31</v>
      </c>
      <c r="B12" s="12" t="s">
        <v>32</v>
      </c>
      <c r="C12" s="12" t="s">
        <v>33</v>
      </c>
      <c r="D12" s="11" t="s">
        <v>24</v>
      </c>
      <c r="E12" s="15">
        <v>3</v>
      </c>
    </row>
    <row r="13" spans="1:5" ht="15.75" customHeight="1" x14ac:dyDescent="0.25">
      <c r="A13" s="11" t="s">
        <v>34</v>
      </c>
      <c r="B13" s="12" t="s">
        <v>35</v>
      </c>
      <c r="C13" s="12" t="s">
        <v>36</v>
      </c>
      <c r="D13" s="11" t="s">
        <v>13</v>
      </c>
      <c r="E13" s="15">
        <v>2</v>
      </c>
    </row>
    <row r="14" spans="1:5" ht="18" customHeight="1" x14ac:dyDescent="0.25">
      <c r="A14" s="8" t="s">
        <v>37</v>
      </c>
      <c r="B14" s="9" t="s">
        <v>38</v>
      </c>
      <c r="C14" s="9" t="s">
        <v>39</v>
      </c>
      <c r="D14" s="8" t="s">
        <v>13</v>
      </c>
      <c r="E14" s="14">
        <f>'Gantt Chart'!D18</f>
        <v>10</v>
      </c>
    </row>
    <row r="15" spans="1:5" ht="15.75" customHeight="1" x14ac:dyDescent="0.25">
      <c r="A15" s="11" t="s">
        <v>40</v>
      </c>
      <c r="B15" s="12" t="s">
        <v>41</v>
      </c>
      <c r="C15" s="12" t="s">
        <v>42</v>
      </c>
      <c r="D15" s="11" t="s">
        <v>24</v>
      </c>
      <c r="E15" s="15">
        <v>3</v>
      </c>
    </row>
    <row r="16" spans="1:5" ht="15.75" customHeight="1" x14ac:dyDescent="0.25">
      <c r="A16" s="11" t="s">
        <v>43</v>
      </c>
      <c r="B16" s="12" t="s">
        <v>44</v>
      </c>
      <c r="C16" s="12" t="s">
        <v>45</v>
      </c>
      <c r="D16" s="11" t="s">
        <v>24</v>
      </c>
      <c r="E16" s="15">
        <v>3</v>
      </c>
    </row>
    <row r="17" spans="1:5" ht="15.75" customHeight="1" x14ac:dyDescent="0.25">
      <c r="A17" s="11" t="s">
        <v>46</v>
      </c>
      <c r="B17" s="12" t="s">
        <v>47</v>
      </c>
      <c r="C17" s="12" t="s">
        <v>48</v>
      </c>
      <c r="D17" s="11" t="s">
        <v>13</v>
      </c>
      <c r="E17" s="15">
        <v>2</v>
      </c>
    </row>
    <row r="18" spans="1:5" ht="15.75" customHeight="1" x14ac:dyDescent="0.25">
      <c r="A18" s="11" t="s">
        <v>49</v>
      </c>
      <c r="B18" s="12" t="s">
        <v>50</v>
      </c>
      <c r="C18" s="12" t="s">
        <v>51</v>
      </c>
      <c r="D18" s="11" t="s">
        <v>52</v>
      </c>
      <c r="E18" s="15">
        <v>2</v>
      </c>
    </row>
    <row r="19" spans="1:5" ht="18" customHeight="1" x14ac:dyDescent="0.25">
      <c r="A19" s="8" t="s">
        <v>53</v>
      </c>
      <c r="B19" s="9" t="s">
        <v>54</v>
      </c>
      <c r="C19" s="9" t="s">
        <v>55</v>
      </c>
      <c r="D19" s="8" t="s">
        <v>24</v>
      </c>
      <c r="E19" s="14">
        <f>'Gantt Chart'!D23</f>
        <v>10</v>
      </c>
    </row>
    <row r="20" spans="1:5" ht="15.75" customHeight="1" x14ac:dyDescent="0.25">
      <c r="A20" s="11" t="s">
        <v>56</v>
      </c>
      <c r="B20" s="12" t="s">
        <v>57</v>
      </c>
      <c r="C20" s="12" t="s">
        <v>58</v>
      </c>
      <c r="D20" s="11" t="s">
        <v>24</v>
      </c>
      <c r="E20" s="15">
        <v>2</v>
      </c>
    </row>
    <row r="21" spans="1:5" ht="15.75" customHeight="1" x14ac:dyDescent="0.25">
      <c r="A21" s="11" t="s">
        <v>59</v>
      </c>
      <c r="B21" s="12" t="s">
        <v>60</v>
      </c>
      <c r="C21" s="12" t="s">
        <v>61</v>
      </c>
      <c r="D21" s="11" t="s">
        <v>24</v>
      </c>
      <c r="E21" s="15">
        <v>3</v>
      </c>
    </row>
    <row r="22" spans="1:5" ht="15.75" customHeight="1" x14ac:dyDescent="0.25">
      <c r="A22" s="11" t="s">
        <v>62</v>
      </c>
      <c r="B22" s="12" t="s">
        <v>63</v>
      </c>
      <c r="C22" s="12" t="s">
        <v>64</v>
      </c>
      <c r="D22" s="11" t="s">
        <v>24</v>
      </c>
      <c r="E22" s="15">
        <v>3</v>
      </c>
    </row>
    <row r="23" spans="1:5" ht="15.75" customHeight="1" x14ac:dyDescent="0.25">
      <c r="A23" s="11" t="s">
        <v>65</v>
      </c>
      <c r="B23" s="12" t="s">
        <v>66</v>
      </c>
      <c r="C23" s="12" t="s">
        <v>67</v>
      </c>
      <c r="D23" s="11" t="s">
        <v>52</v>
      </c>
      <c r="E23" s="15">
        <v>2</v>
      </c>
    </row>
    <row r="24" spans="1:5" ht="18" customHeight="1" x14ac:dyDescent="0.25">
      <c r="A24" s="8" t="s">
        <v>68</v>
      </c>
      <c r="B24" s="9" t="s">
        <v>69</v>
      </c>
      <c r="C24" s="9" t="s">
        <v>70</v>
      </c>
      <c r="D24" s="8" t="s">
        <v>71</v>
      </c>
      <c r="E24" s="14">
        <f>'Gantt Chart'!D28</f>
        <v>10</v>
      </c>
    </row>
    <row r="25" spans="1:5" ht="15.75" customHeight="1" x14ac:dyDescent="0.25">
      <c r="A25" s="11" t="s">
        <v>72</v>
      </c>
      <c r="B25" s="12" t="s">
        <v>73</v>
      </c>
      <c r="C25" s="12" t="s">
        <v>74</v>
      </c>
      <c r="D25" s="11" t="s">
        <v>71</v>
      </c>
      <c r="E25" s="15">
        <v>3</v>
      </c>
    </row>
    <row r="26" spans="1:5" ht="15.75" customHeight="1" x14ac:dyDescent="0.25">
      <c r="A26" s="11" t="s">
        <v>75</v>
      </c>
      <c r="B26" s="12" t="s">
        <v>76</v>
      </c>
      <c r="C26" s="12" t="s">
        <v>77</v>
      </c>
      <c r="D26" s="11" t="s">
        <v>71</v>
      </c>
      <c r="E26" s="15">
        <v>2</v>
      </c>
    </row>
    <row r="27" spans="1:5" ht="15.75" customHeight="1" x14ac:dyDescent="0.25">
      <c r="A27" s="11" t="s">
        <v>78</v>
      </c>
      <c r="B27" s="12" t="s">
        <v>79</v>
      </c>
      <c r="C27" s="12" t="s">
        <v>80</v>
      </c>
      <c r="D27" s="11" t="s">
        <v>71</v>
      </c>
      <c r="E27" s="15">
        <v>3</v>
      </c>
    </row>
    <row r="28" spans="1:5" ht="15.75" customHeight="1" x14ac:dyDescent="0.25">
      <c r="A28" s="11" t="s">
        <v>81</v>
      </c>
      <c r="B28" s="12" t="s">
        <v>82</v>
      </c>
      <c r="C28" s="12" t="s">
        <v>83</v>
      </c>
      <c r="D28" s="11" t="s">
        <v>71</v>
      </c>
      <c r="E28" s="15">
        <v>2</v>
      </c>
    </row>
    <row r="29" spans="1:5" ht="18" customHeight="1" x14ac:dyDescent="0.25">
      <c r="A29" s="8" t="s">
        <v>84</v>
      </c>
      <c r="B29" s="9" t="s">
        <v>85</v>
      </c>
      <c r="C29" s="9" t="s">
        <v>86</v>
      </c>
      <c r="D29" s="8" t="s">
        <v>87</v>
      </c>
      <c r="E29" s="14">
        <f>'Gantt Chart'!D33</f>
        <v>15</v>
      </c>
    </row>
    <row r="30" spans="1:5" ht="15.75" customHeight="1" x14ac:dyDescent="0.25">
      <c r="A30" s="11" t="s">
        <v>88</v>
      </c>
      <c r="B30" s="12" t="s">
        <v>89</v>
      </c>
      <c r="C30" s="12" t="s">
        <v>90</v>
      </c>
      <c r="D30" s="11" t="s">
        <v>87</v>
      </c>
      <c r="E30" s="15">
        <v>5</v>
      </c>
    </row>
    <row r="31" spans="1:5" ht="15.75" customHeight="1" x14ac:dyDescent="0.25">
      <c r="A31" s="11" t="s">
        <v>91</v>
      </c>
      <c r="B31" s="12" t="s">
        <v>92</v>
      </c>
      <c r="C31" s="12" t="s">
        <v>93</v>
      </c>
      <c r="D31" s="11" t="s">
        <v>87</v>
      </c>
      <c r="E31" s="15">
        <v>5</v>
      </c>
    </row>
    <row r="32" spans="1:5" ht="25.5" customHeight="1" x14ac:dyDescent="0.25">
      <c r="A32" s="11" t="s">
        <v>94</v>
      </c>
      <c r="B32" s="12" t="s">
        <v>95</v>
      </c>
      <c r="C32" s="12" t="s">
        <v>96</v>
      </c>
      <c r="D32" s="11" t="s">
        <v>87</v>
      </c>
      <c r="E32" s="15">
        <v>5</v>
      </c>
    </row>
    <row r="33" spans="1:5" ht="18" customHeight="1" x14ac:dyDescent="0.25">
      <c r="A33" s="8" t="s">
        <v>97</v>
      </c>
      <c r="B33" s="9" t="s">
        <v>98</v>
      </c>
      <c r="C33" s="9" t="s">
        <v>99</v>
      </c>
      <c r="D33" s="8" t="s">
        <v>100</v>
      </c>
      <c r="E33" s="14">
        <f>'Gantt Chart'!D37</f>
        <v>5</v>
      </c>
    </row>
    <row r="34" spans="1:5" ht="15.75" customHeight="1" x14ac:dyDescent="0.25">
      <c r="A34" s="11" t="s">
        <v>101</v>
      </c>
      <c r="B34" s="12" t="s">
        <v>102</v>
      </c>
      <c r="C34" s="12" t="s">
        <v>103</v>
      </c>
      <c r="D34" s="11" t="s">
        <v>100</v>
      </c>
      <c r="E34" s="15">
        <v>2</v>
      </c>
    </row>
    <row r="35" spans="1:5" ht="15.75" customHeight="1" x14ac:dyDescent="0.25">
      <c r="A35" s="11" t="s">
        <v>104</v>
      </c>
      <c r="B35" s="12" t="s">
        <v>105</v>
      </c>
      <c r="C35" s="12" t="s">
        <v>106</v>
      </c>
      <c r="D35" s="11" t="s">
        <v>100</v>
      </c>
      <c r="E35" s="15">
        <v>2</v>
      </c>
    </row>
    <row r="36" spans="1:5" ht="15.75" customHeight="1" x14ac:dyDescent="0.25">
      <c r="A36" s="11" t="s">
        <v>107</v>
      </c>
      <c r="B36" s="12" t="s">
        <v>108</v>
      </c>
      <c r="C36" s="12" t="s">
        <v>109</v>
      </c>
      <c r="D36" s="11" t="s">
        <v>87</v>
      </c>
      <c r="E36" s="15">
        <v>1</v>
      </c>
    </row>
    <row r="37" spans="1:5" ht="18" customHeight="1" x14ac:dyDescent="0.25">
      <c r="A37" s="8" t="s">
        <v>110</v>
      </c>
      <c r="B37" s="9" t="s">
        <v>111</v>
      </c>
      <c r="C37" s="9" t="s">
        <v>112</v>
      </c>
      <c r="D37" s="8" t="s">
        <v>52</v>
      </c>
      <c r="E37" s="14">
        <f>'Gantt Chart'!D41</f>
        <v>10</v>
      </c>
    </row>
    <row r="38" spans="1:5" ht="15.75" customHeight="1" x14ac:dyDescent="0.25">
      <c r="A38" s="11" t="s">
        <v>113</v>
      </c>
      <c r="B38" s="12" t="s">
        <v>114</v>
      </c>
      <c r="C38" s="12" t="s">
        <v>115</v>
      </c>
      <c r="D38" s="11" t="s">
        <v>87</v>
      </c>
      <c r="E38" s="15">
        <v>2</v>
      </c>
    </row>
    <row r="39" spans="1:5" ht="15.75" customHeight="1" x14ac:dyDescent="0.25">
      <c r="A39" s="11" t="s">
        <v>116</v>
      </c>
      <c r="B39" s="12" t="s">
        <v>117</v>
      </c>
      <c r="C39" s="12" t="s">
        <v>118</v>
      </c>
      <c r="D39" s="11" t="s">
        <v>13</v>
      </c>
      <c r="E39" s="15">
        <v>3</v>
      </c>
    </row>
    <row r="40" spans="1:5" ht="15.75" customHeight="1" x14ac:dyDescent="0.25">
      <c r="A40" s="11" t="s">
        <v>119</v>
      </c>
      <c r="B40" s="12" t="s">
        <v>120</v>
      </c>
      <c r="C40" s="12" t="s">
        <v>121</v>
      </c>
      <c r="D40" s="11" t="s">
        <v>52</v>
      </c>
      <c r="E40" s="15">
        <v>4</v>
      </c>
    </row>
    <row r="41" spans="1:5" ht="15.75" customHeight="1" x14ac:dyDescent="0.25">
      <c r="A41" s="16" t="s">
        <v>122</v>
      </c>
      <c r="B41" s="17" t="s">
        <v>123</v>
      </c>
      <c r="C41" s="17" t="s">
        <v>124</v>
      </c>
      <c r="D41" s="16" t="s">
        <v>52</v>
      </c>
      <c r="E41" s="18">
        <v>4</v>
      </c>
    </row>
    <row r="43" spans="1:5" x14ac:dyDescent="0.25">
      <c r="B43" s="19" t="s">
        <v>125</v>
      </c>
      <c r="E43" s="20">
        <f>MAX('Gantt Chart'!G13,'Gantt Chart'!G18,'Gantt Chart'!G23,'Gantt Chart'!G28,'Gantt Chart'!G33,'Gantt Chart'!G37,'Gantt Chart'!G41)</f>
        <v>70</v>
      </c>
    </row>
  </sheetData>
  <mergeCells count="1">
    <mergeCell ref="A3:E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CN71"/>
  <sheetViews>
    <sheetView showGridLines="0" tabSelected="1" zoomScale="90" zoomScaleNormal="90" workbookViewId="0">
      <pane xSplit="2" ySplit="9" topLeftCell="L10" activePane="bottomRight" state="frozen"/>
      <selection pane="topRight" activeCell="C1" sqref="C1"/>
      <selection pane="bottomLeft" activeCell="A10" sqref="A10"/>
      <selection pane="bottomRight" activeCell="B25" sqref="B25"/>
    </sheetView>
  </sheetViews>
  <sheetFormatPr defaultColWidth="8.5703125" defaultRowHeight="15" x14ac:dyDescent="0.25"/>
  <cols>
    <col min="1" max="1" width="5.5703125" customWidth="1"/>
    <col min="2" max="2" width="34" customWidth="1"/>
    <col min="3" max="3" width="12" customWidth="1"/>
    <col min="4" max="4" width="7" customWidth="1"/>
    <col min="5" max="5" width="10" customWidth="1"/>
    <col min="6" max="7" width="7" customWidth="1"/>
    <col min="8" max="9" width="11" customWidth="1"/>
    <col min="10" max="11" width="6" customWidth="1"/>
    <col min="12" max="12" width="11" customWidth="1"/>
    <col min="13" max="92" width="2.42578125" customWidth="1"/>
  </cols>
  <sheetData>
    <row r="1" spans="1:92" ht="18" x14ac:dyDescent="0.25">
      <c r="A1" s="5" t="s">
        <v>126</v>
      </c>
    </row>
    <row r="2" spans="1:92" x14ac:dyDescent="0.25">
      <c r="A2" s="6" t="s">
        <v>127</v>
      </c>
    </row>
    <row r="3" spans="1:92" x14ac:dyDescent="0.25">
      <c r="B3" s="19" t="s">
        <v>128</v>
      </c>
      <c r="C3" s="21">
        <v>46300</v>
      </c>
      <c r="E3" s="4" t="s">
        <v>129</v>
      </c>
    </row>
    <row r="4" spans="1:92" x14ac:dyDescent="0.25">
      <c r="B4" s="19" t="s">
        <v>130</v>
      </c>
      <c r="C4" s="22">
        <v>11</v>
      </c>
      <c r="D4" s="22">
        <v>16</v>
      </c>
    </row>
    <row r="5" spans="1:92" hidden="1" x14ac:dyDescent="0.25">
      <c r="B5" s="23" t="s">
        <v>131</v>
      </c>
      <c r="M5" s="24" t="e">
        <f>#REF!</f>
        <v>#REF!</v>
      </c>
      <c r="N5" s="24" t="e">
        <f>#REF!</f>
        <v>#REF!</v>
      </c>
      <c r="O5" s="24" t="e">
        <f>#REF!</f>
        <v>#REF!</v>
      </c>
      <c r="P5" s="24" t="e">
        <f>#REF!</f>
        <v>#REF!</v>
      </c>
      <c r="Q5" s="24" t="e">
        <f>#REF!</f>
        <v>#REF!</v>
      </c>
      <c r="R5" s="24" t="e">
        <f>#REF!</f>
        <v>#REF!</v>
      </c>
      <c r="S5" s="24" t="e">
        <f>#REF!</f>
        <v>#REF!</v>
      </c>
      <c r="T5" s="24" t="e">
        <f>#REF!</f>
        <v>#REF!</v>
      </c>
      <c r="U5" s="24" t="e">
        <f>#REF!</f>
        <v>#REF!</v>
      </c>
      <c r="V5" s="24" t="e">
        <f>#REF!</f>
        <v>#REF!</v>
      </c>
      <c r="W5" s="24" t="e">
        <f>#REF!</f>
        <v>#REF!</v>
      </c>
      <c r="X5" s="24" t="e">
        <f>#REF!</f>
        <v>#REF!</v>
      </c>
      <c r="Y5" s="24" t="e">
        <f>#REF!</f>
        <v>#REF!</v>
      </c>
      <c r="Z5" s="24" t="e">
        <f>#REF!</f>
        <v>#REF!</v>
      </c>
      <c r="AA5" s="24" t="e">
        <f>#REF!</f>
        <v>#REF!</v>
      </c>
      <c r="AB5" s="24" t="e">
        <f>#REF!</f>
        <v>#REF!</v>
      </c>
      <c r="AC5" s="24" t="e">
        <f>#REF!</f>
        <v>#REF!</v>
      </c>
      <c r="AD5" s="24" t="e">
        <f>#REF!</f>
        <v>#REF!</v>
      </c>
      <c r="AE5" s="24" t="e">
        <f>#REF!</f>
        <v>#REF!</v>
      </c>
      <c r="AF5" s="24" t="e">
        <f>#REF!</f>
        <v>#REF!</v>
      </c>
      <c r="AG5" s="24" t="e">
        <f>#REF!</f>
        <v>#REF!</v>
      </c>
      <c r="AH5" s="24" t="e">
        <f>#REF!</f>
        <v>#REF!</v>
      </c>
      <c r="AI5" s="24" t="e">
        <f>#REF!</f>
        <v>#REF!</v>
      </c>
      <c r="AJ5" s="24" t="e">
        <f>#REF!</f>
        <v>#REF!</v>
      </c>
      <c r="AK5" s="24" t="e">
        <f>#REF!</f>
        <v>#REF!</v>
      </c>
      <c r="AL5" s="24" t="e">
        <f>#REF!</f>
        <v>#REF!</v>
      </c>
      <c r="AM5" s="24" t="e">
        <f>#REF!</f>
        <v>#REF!</v>
      </c>
      <c r="AN5" s="24" t="e">
        <f>#REF!</f>
        <v>#REF!</v>
      </c>
      <c r="AO5" s="24" t="e">
        <f>#REF!</f>
        <v>#REF!</v>
      </c>
      <c r="AP5" s="24" t="e">
        <f>#REF!</f>
        <v>#REF!</v>
      </c>
      <c r="AQ5" s="24" t="e">
        <f>#REF!</f>
        <v>#REF!</v>
      </c>
      <c r="AR5" s="24" t="e">
        <f>#REF!</f>
        <v>#REF!</v>
      </c>
      <c r="AS5" s="24" t="e">
        <f>#REF!</f>
        <v>#REF!</v>
      </c>
      <c r="AT5" s="24" t="e">
        <f>#REF!</f>
        <v>#REF!</v>
      </c>
      <c r="AU5" s="24" t="e">
        <f>#REF!</f>
        <v>#REF!</v>
      </c>
      <c r="AV5" s="24" t="e">
        <f>#REF!</f>
        <v>#REF!</v>
      </c>
      <c r="AW5" s="24" t="e">
        <f>#REF!</f>
        <v>#REF!</v>
      </c>
      <c r="AX5" s="24" t="e">
        <f>#REF!</f>
        <v>#REF!</v>
      </c>
      <c r="AY5" s="24" t="e">
        <f>#REF!</f>
        <v>#REF!</v>
      </c>
      <c r="AZ5" s="24" t="e">
        <f>#REF!</f>
        <v>#REF!</v>
      </c>
      <c r="BA5" s="24" t="e">
        <f>#REF!</f>
        <v>#REF!</v>
      </c>
      <c r="BB5" s="24" t="e">
        <f>#REF!</f>
        <v>#REF!</v>
      </c>
      <c r="BC5" s="24" t="e">
        <f>#REF!</f>
        <v>#REF!</v>
      </c>
      <c r="BD5" s="24" t="e">
        <f>#REF!</f>
        <v>#REF!</v>
      </c>
      <c r="BE5" s="24" t="e">
        <f>#REF!</f>
        <v>#REF!</v>
      </c>
      <c r="BF5" s="24" t="e">
        <f>#REF!</f>
        <v>#REF!</v>
      </c>
      <c r="BG5" s="24" t="e">
        <f>#REF!</f>
        <v>#REF!</v>
      </c>
      <c r="BH5" s="24" t="e">
        <f>#REF!</f>
        <v>#REF!</v>
      </c>
      <c r="BI5" s="24" t="e">
        <f>#REF!</f>
        <v>#REF!</v>
      </c>
      <c r="BJ5" s="24" t="e">
        <f>#REF!</f>
        <v>#REF!</v>
      </c>
      <c r="BK5" s="24" t="e">
        <f>#REF!</f>
        <v>#REF!</v>
      </c>
      <c r="BL5" s="24" t="e">
        <f>#REF!</f>
        <v>#REF!</v>
      </c>
      <c r="BM5" s="24" t="e">
        <f>#REF!</f>
        <v>#REF!</v>
      </c>
      <c r="BN5" s="24" t="e">
        <f>#REF!</f>
        <v>#REF!</v>
      </c>
      <c r="BO5" s="24" t="e">
        <f>#REF!</f>
        <v>#REF!</v>
      </c>
      <c r="BP5" s="24" t="e">
        <f>#REF!</f>
        <v>#REF!</v>
      </c>
      <c r="BQ5" s="24" t="e">
        <f>#REF!</f>
        <v>#REF!</v>
      </c>
      <c r="BR5" s="24" t="e">
        <f>#REF!</f>
        <v>#REF!</v>
      </c>
      <c r="BS5" s="24" t="e">
        <f>#REF!</f>
        <v>#REF!</v>
      </c>
      <c r="BT5" s="24" t="e">
        <f>#REF!</f>
        <v>#REF!</v>
      </c>
      <c r="BU5" s="24" t="e">
        <f>#REF!</f>
        <v>#REF!</v>
      </c>
      <c r="BV5" s="24" t="e">
        <f>#REF!</f>
        <v>#REF!</v>
      </c>
      <c r="BW5" s="24" t="e">
        <f>#REF!</f>
        <v>#REF!</v>
      </c>
      <c r="BX5" s="24" t="e">
        <f>#REF!</f>
        <v>#REF!</v>
      </c>
      <c r="BY5" s="24" t="e">
        <f>#REF!</f>
        <v>#REF!</v>
      </c>
      <c r="BZ5" s="24" t="e">
        <f>#REF!</f>
        <v>#REF!</v>
      </c>
      <c r="CA5" s="24" t="e">
        <f>#REF!</f>
        <v>#REF!</v>
      </c>
      <c r="CB5" s="24" t="e">
        <f>#REF!</f>
        <v>#REF!</v>
      </c>
      <c r="CC5" s="24" t="e">
        <f>#REF!</f>
        <v>#REF!</v>
      </c>
      <c r="CD5" s="24" t="e">
        <f>#REF!</f>
        <v>#REF!</v>
      </c>
      <c r="CE5" s="24" t="e">
        <f>#REF!</f>
        <v>#REF!</v>
      </c>
      <c r="CF5" s="24" t="e">
        <f>#REF!</f>
        <v>#REF!</v>
      </c>
      <c r="CG5" s="24" t="e">
        <f>#REF!</f>
        <v>#REF!</v>
      </c>
      <c r="CH5" s="24" t="e">
        <f>#REF!</f>
        <v>#REF!</v>
      </c>
      <c r="CI5" s="24" t="e">
        <f>#REF!</f>
        <v>#REF!</v>
      </c>
      <c r="CJ5" s="24" t="e">
        <f>#REF!</f>
        <v>#REF!</v>
      </c>
      <c r="CK5" s="24" t="e">
        <f>#REF!</f>
        <v>#REF!</v>
      </c>
      <c r="CL5" s="24" t="e">
        <f>#REF!</f>
        <v>#REF!</v>
      </c>
      <c r="CM5" s="24" t="e">
        <f>#REF!</f>
        <v>#REF!</v>
      </c>
      <c r="CN5" s="24" t="e">
        <f>#REF!</f>
        <v>#REF!</v>
      </c>
    </row>
    <row r="6" spans="1:92" hidden="1" x14ac:dyDescent="0.25">
      <c r="B6" s="23" t="s">
        <v>132</v>
      </c>
      <c r="M6" s="25" t="e">
        <f>#REF!</f>
        <v>#REF!</v>
      </c>
      <c r="N6" s="25" t="e">
        <f>#REF!</f>
        <v>#REF!</v>
      </c>
      <c r="O6" s="25" t="e">
        <f>#REF!</f>
        <v>#REF!</v>
      </c>
      <c r="P6" s="25" t="e">
        <f>#REF!</f>
        <v>#REF!</v>
      </c>
      <c r="Q6" s="25" t="e">
        <f>#REF!</f>
        <v>#REF!</v>
      </c>
      <c r="R6" s="25" t="e">
        <f>#REF!</f>
        <v>#REF!</v>
      </c>
      <c r="S6" s="25" t="e">
        <f>#REF!</f>
        <v>#REF!</v>
      </c>
      <c r="T6" s="25" t="e">
        <f>#REF!</f>
        <v>#REF!</v>
      </c>
      <c r="U6" s="25" t="e">
        <f>#REF!</f>
        <v>#REF!</v>
      </c>
      <c r="V6" s="25" t="e">
        <f>#REF!</f>
        <v>#REF!</v>
      </c>
      <c r="W6" s="25" t="e">
        <f>#REF!</f>
        <v>#REF!</v>
      </c>
      <c r="X6" s="25" t="e">
        <f>#REF!</f>
        <v>#REF!</v>
      </c>
      <c r="Y6" s="25" t="e">
        <f>#REF!</f>
        <v>#REF!</v>
      </c>
      <c r="Z6" s="25" t="e">
        <f>#REF!</f>
        <v>#REF!</v>
      </c>
      <c r="AA6" s="25" t="e">
        <f>#REF!</f>
        <v>#REF!</v>
      </c>
      <c r="AB6" s="25" t="e">
        <f>#REF!</f>
        <v>#REF!</v>
      </c>
      <c r="AC6" s="25" t="e">
        <f>#REF!</f>
        <v>#REF!</v>
      </c>
      <c r="AD6" s="25" t="e">
        <f>#REF!</f>
        <v>#REF!</v>
      </c>
      <c r="AE6" s="25" t="e">
        <f>#REF!</f>
        <v>#REF!</v>
      </c>
      <c r="AF6" s="25" t="e">
        <f>#REF!</f>
        <v>#REF!</v>
      </c>
      <c r="AG6" s="25" t="e">
        <f>#REF!</f>
        <v>#REF!</v>
      </c>
      <c r="AH6" s="25" t="e">
        <f>#REF!</f>
        <v>#REF!</v>
      </c>
      <c r="AI6" s="25" t="e">
        <f>#REF!</f>
        <v>#REF!</v>
      </c>
      <c r="AJ6" s="25" t="e">
        <f>#REF!</f>
        <v>#REF!</v>
      </c>
      <c r="AK6" s="25" t="e">
        <f>#REF!</f>
        <v>#REF!</v>
      </c>
      <c r="AL6" s="25" t="e">
        <f>#REF!</f>
        <v>#REF!</v>
      </c>
      <c r="AM6" s="25" t="e">
        <f>#REF!</f>
        <v>#REF!</v>
      </c>
      <c r="AN6" s="25" t="e">
        <f>#REF!</f>
        <v>#REF!</v>
      </c>
      <c r="AO6" s="25" t="e">
        <f>#REF!</f>
        <v>#REF!</v>
      </c>
      <c r="AP6" s="25" t="e">
        <f>#REF!</f>
        <v>#REF!</v>
      </c>
      <c r="AQ6" s="25" t="e">
        <f>#REF!</f>
        <v>#REF!</v>
      </c>
      <c r="AR6" s="25" t="e">
        <f>#REF!</f>
        <v>#REF!</v>
      </c>
      <c r="AS6" s="25" t="e">
        <f>#REF!</f>
        <v>#REF!</v>
      </c>
      <c r="AT6" s="25" t="e">
        <f>#REF!</f>
        <v>#REF!</v>
      </c>
      <c r="AU6" s="25" t="e">
        <f>#REF!</f>
        <v>#REF!</v>
      </c>
      <c r="AV6" s="25" t="e">
        <f>#REF!</f>
        <v>#REF!</v>
      </c>
      <c r="AW6" s="25" t="e">
        <f>#REF!</f>
        <v>#REF!</v>
      </c>
      <c r="AX6" s="25" t="e">
        <f>#REF!</f>
        <v>#REF!</v>
      </c>
      <c r="AY6" s="25" t="e">
        <f>#REF!</f>
        <v>#REF!</v>
      </c>
      <c r="AZ6" s="25" t="e">
        <f>#REF!</f>
        <v>#REF!</v>
      </c>
      <c r="BA6" s="25" t="e">
        <f>#REF!</f>
        <v>#REF!</v>
      </c>
      <c r="BB6" s="25" t="e">
        <f>#REF!</f>
        <v>#REF!</v>
      </c>
      <c r="BC6" s="25" t="e">
        <f>#REF!</f>
        <v>#REF!</v>
      </c>
      <c r="BD6" s="25" t="e">
        <f>#REF!</f>
        <v>#REF!</v>
      </c>
      <c r="BE6" s="25" t="e">
        <f>#REF!</f>
        <v>#REF!</v>
      </c>
      <c r="BF6" s="25" t="e">
        <f>#REF!</f>
        <v>#REF!</v>
      </c>
      <c r="BG6" s="25" t="e">
        <f>#REF!</f>
        <v>#REF!</v>
      </c>
      <c r="BH6" s="25" t="e">
        <f>#REF!</f>
        <v>#REF!</v>
      </c>
      <c r="BI6" s="25" t="e">
        <f>#REF!</f>
        <v>#REF!</v>
      </c>
      <c r="BJ6" s="25" t="e">
        <f>#REF!</f>
        <v>#REF!</v>
      </c>
      <c r="BK6" s="25" t="e">
        <f>#REF!</f>
        <v>#REF!</v>
      </c>
      <c r="BL6" s="25" t="e">
        <f>#REF!</f>
        <v>#REF!</v>
      </c>
      <c r="BM6" s="25" t="e">
        <f>#REF!</f>
        <v>#REF!</v>
      </c>
      <c r="BN6" s="25" t="e">
        <f>#REF!</f>
        <v>#REF!</v>
      </c>
      <c r="BO6" s="25" t="e">
        <f>#REF!</f>
        <v>#REF!</v>
      </c>
      <c r="BP6" s="25" t="e">
        <f>#REF!</f>
        <v>#REF!</v>
      </c>
      <c r="BQ6" s="25" t="e">
        <f>#REF!</f>
        <v>#REF!</v>
      </c>
      <c r="BR6" s="25" t="e">
        <f>#REF!</f>
        <v>#REF!</v>
      </c>
      <c r="BS6" s="25" t="e">
        <f>#REF!</f>
        <v>#REF!</v>
      </c>
      <c r="BT6" s="25" t="e">
        <f>#REF!</f>
        <v>#REF!</v>
      </c>
      <c r="BU6" s="25" t="e">
        <f>#REF!</f>
        <v>#REF!</v>
      </c>
      <c r="BV6" s="25" t="e">
        <f>#REF!</f>
        <v>#REF!</v>
      </c>
      <c r="BW6" s="25" t="e">
        <f>#REF!</f>
        <v>#REF!</v>
      </c>
      <c r="BX6" s="25" t="e">
        <f>#REF!</f>
        <v>#REF!</v>
      </c>
      <c r="BY6" s="25" t="e">
        <f>#REF!</f>
        <v>#REF!</v>
      </c>
      <c r="BZ6" s="25" t="e">
        <f>#REF!</f>
        <v>#REF!</v>
      </c>
      <c r="CA6" s="25" t="e">
        <f>#REF!</f>
        <v>#REF!</v>
      </c>
      <c r="CB6" s="25" t="e">
        <f>#REF!</f>
        <v>#REF!</v>
      </c>
      <c r="CC6" s="25" t="e">
        <f>#REF!</f>
        <v>#REF!</v>
      </c>
      <c r="CD6" s="25" t="e">
        <f>#REF!</f>
        <v>#REF!</v>
      </c>
      <c r="CE6" s="25" t="e">
        <f>#REF!</f>
        <v>#REF!</v>
      </c>
      <c r="CF6" s="25" t="e">
        <f>#REF!</f>
        <v>#REF!</v>
      </c>
      <c r="CG6" s="25" t="e">
        <f>#REF!</f>
        <v>#REF!</v>
      </c>
      <c r="CH6" s="25" t="e">
        <f>#REF!</f>
        <v>#REF!</v>
      </c>
      <c r="CI6" s="25" t="e">
        <f>#REF!</f>
        <v>#REF!</v>
      </c>
      <c r="CJ6" s="25" t="e">
        <f>#REF!</f>
        <v>#REF!</v>
      </c>
      <c r="CK6" s="25" t="e">
        <f>#REF!</f>
        <v>#REF!</v>
      </c>
      <c r="CL6" s="25" t="e">
        <f>#REF!</f>
        <v>#REF!</v>
      </c>
      <c r="CM6" s="25" t="e">
        <f>#REF!</f>
        <v>#REF!</v>
      </c>
      <c r="CN6" s="25" t="e">
        <f>#REF!</f>
        <v>#REF!</v>
      </c>
    </row>
    <row r="7" spans="1:92" ht="16.5" customHeight="1" x14ac:dyDescent="0.25">
      <c r="A7" s="72" t="s">
        <v>5</v>
      </c>
      <c r="B7" s="72" t="s">
        <v>133</v>
      </c>
      <c r="C7" s="72" t="s">
        <v>134</v>
      </c>
      <c r="D7" s="72" t="s">
        <v>135</v>
      </c>
      <c r="E7" s="72" t="s">
        <v>136</v>
      </c>
      <c r="F7" s="72" t="s">
        <v>137</v>
      </c>
      <c r="G7" s="72" t="s">
        <v>138</v>
      </c>
      <c r="H7" s="72" t="s">
        <v>139</v>
      </c>
      <c r="I7" s="72" t="s">
        <v>140</v>
      </c>
      <c r="J7" s="72" t="s">
        <v>141</v>
      </c>
      <c r="K7" s="72" t="s">
        <v>142</v>
      </c>
      <c r="L7" s="72" t="s">
        <v>143</v>
      </c>
      <c r="M7" s="73" t="e">
        <f>IF(#REF!=1,IF(#REF!=$C$4,"UTS","UAS"),"Mg "&amp;#REF!)</f>
        <v>#REF!</v>
      </c>
      <c r="N7" s="73"/>
      <c r="O7" s="73"/>
      <c r="P7" s="73"/>
      <c r="Q7" s="73"/>
      <c r="R7" s="73" t="e">
        <f>IF(#REF!=1,IF(#REF!=$C$4,"UTS","UAS"),"Mg "&amp;#REF!)</f>
        <v>#REF!</v>
      </c>
      <c r="S7" s="73"/>
      <c r="T7" s="73"/>
      <c r="U7" s="73"/>
      <c r="V7" s="73"/>
      <c r="W7" s="73" t="e">
        <f>IF(#REF!=1,IF(#REF!=$C$4,"UTS","UAS"),"Mg "&amp;#REF!)</f>
        <v>#REF!</v>
      </c>
      <c r="X7" s="73"/>
      <c r="Y7" s="73"/>
      <c r="Z7" s="73"/>
      <c r="AA7" s="73"/>
      <c r="AB7" s="73" t="e">
        <f>IF(#REF!=1,IF(#REF!=$C$4,"UTS","UAS"),"Mg "&amp;#REF!)</f>
        <v>#REF!</v>
      </c>
      <c r="AC7" s="73"/>
      <c r="AD7" s="73"/>
      <c r="AE7" s="73"/>
      <c r="AF7" s="73"/>
      <c r="AG7" s="73" t="e">
        <f>IF(#REF!=1,IF(#REF!=$C$4,"UTS","UAS"),"Mg "&amp;#REF!)</f>
        <v>#REF!</v>
      </c>
      <c r="AH7" s="73"/>
      <c r="AI7" s="73"/>
      <c r="AJ7" s="73"/>
      <c r="AK7" s="73"/>
      <c r="AL7" s="73" t="e">
        <f>IF(#REF!=1,IF(#REF!=$C$4,"UTS","UAS"),"Mg "&amp;#REF!)</f>
        <v>#REF!</v>
      </c>
      <c r="AM7" s="73"/>
      <c r="AN7" s="73"/>
      <c r="AO7" s="73"/>
      <c r="AP7" s="73"/>
      <c r="AQ7" s="73" t="e">
        <f>IF(#REF!=1,IF(#REF!=$C$4,"UTS","UAS"),"Mg "&amp;#REF!)</f>
        <v>#REF!</v>
      </c>
      <c r="AR7" s="73"/>
      <c r="AS7" s="73"/>
      <c r="AT7" s="73"/>
      <c r="AU7" s="73"/>
      <c r="AV7" s="73" t="e">
        <f>IF(#REF!=1,IF(#REF!=$C$4,"UTS","UAS"),"Mg "&amp;#REF!)</f>
        <v>#REF!</v>
      </c>
      <c r="AW7" s="73"/>
      <c r="AX7" s="73"/>
      <c r="AY7" s="73"/>
      <c r="AZ7" s="73"/>
      <c r="BA7" s="73" t="e">
        <f>IF(#REF!=1,IF(#REF!=$C$4,"UTS","UAS"),"Mg "&amp;#REF!)</f>
        <v>#REF!</v>
      </c>
      <c r="BB7" s="73"/>
      <c r="BC7" s="73"/>
      <c r="BD7" s="73"/>
      <c r="BE7" s="73"/>
      <c r="BF7" s="73" t="e">
        <f>IF(#REF!=1,IF(#REF!=$C$4,"UTS","UAS"),"Mg "&amp;#REF!)</f>
        <v>#REF!</v>
      </c>
      <c r="BG7" s="73"/>
      <c r="BH7" s="73"/>
      <c r="BI7" s="73"/>
      <c r="BJ7" s="73"/>
      <c r="BK7" s="73" t="e">
        <f>IF(#REF!=1,IF(#REF!=$C$4,"UTS","UAS"),"Mg "&amp;#REF!)</f>
        <v>#REF!</v>
      </c>
      <c r="BL7" s="73"/>
      <c r="BM7" s="73"/>
      <c r="BN7" s="73"/>
      <c r="BO7" s="73"/>
      <c r="BP7" s="73" t="e">
        <f>IF(#REF!=1,IF(#REF!=$C$4,"UTS","UAS"),"Mg "&amp;#REF!)</f>
        <v>#REF!</v>
      </c>
      <c r="BQ7" s="73"/>
      <c r="BR7" s="73"/>
      <c r="BS7" s="73"/>
      <c r="BT7" s="73"/>
      <c r="BU7" s="73" t="e">
        <f>IF(#REF!=1,IF(#REF!=$C$4,"UTS","UAS"),"Mg "&amp;#REF!)</f>
        <v>#REF!</v>
      </c>
      <c r="BV7" s="73"/>
      <c r="BW7" s="73"/>
      <c r="BX7" s="73"/>
      <c r="BY7" s="73"/>
      <c r="BZ7" s="73" t="e">
        <f>IF(#REF!=1,IF(#REF!=$C$4,"UTS","UAS"),"Mg "&amp;#REF!)</f>
        <v>#REF!</v>
      </c>
      <c r="CA7" s="73"/>
      <c r="CB7" s="73"/>
      <c r="CC7" s="73"/>
      <c r="CD7" s="73"/>
      <c r="CE7" s="73" t="e">
        <f>IF(#REF!=1,IF(#REF!=$C$4,"UTS","UAS"),"Mg "&amp;#REF!)</f>
        <v>#REF!</v>
      </c>
      <c r="CF7" s="73"/>
      <c r="CG7" s="73"/>
      <c r="CH7" s="73"/>
      <c r="CI7" s="73"/>
      <c r="CJ7" s="73" t="e">
        <f>IF(#REF!=1,IF(#REF!=$C$4,"UTS","UAS"),"Mg "&amp;#REF!)</f>
        <v>#REF!</v>
      </c>
      <c r="CK7" s="73"/>
      <c r="CL7" s="73"/>
      <c r="CM7" s="73"/>
      <c r="CN7" s="73"/>
    </row>
    <row r="8" spans="1:92" ht="13.5" customHeight="1" x14ac:dyDescent="0.2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4" t="e">
        <f>#REF!</f>
        <v>#REF!</v>
      </c>
      <c r="N8" s="74"/>
      <c r="O8" s="74"/>
      <c r="P8" s="74"/>
      <c r="Q8" s="74"/>
      <c r="R8" s="74" t="e">
        <f>#REF!</f>
        <v>#REF!</v>
      </c>
      <c r="S8" s="74"/>
      <c r="T8" s="74"/>
      <c r="U8" s="74"/>
      <c r="V8" s="74"/>
      <c r="W8" s="74" t="e">
        <f>#REF!</f>
        <v>#REF!</v>
      </c>
      <c r="X8" s="74"/>
      <c r="Y8" s="74"/>
      <c r="Z8" s="74"/>
      <c r="AA8" s="74"/>
      <c r="AB8" s="74" t="e">
        <f>#REF!</f>
        <v>#REF!</v>
      </c>
      <c r="AC8" s="74"/>
      <c r="AD8" s="74"/>
      <c r="AE8" s="74"/>
      <c r="AF8" s="74"/>
      <c r="AG8" s="74" t="e">
        <f>#REF!</f>
        <v>#REF!</v>
      </c>
      <c r="AH8" s="74"/>
      <c r="AI8" s="74"/>
      <c r="AJ8" s="74"/>
      <c r="AK8" s="74"/>
      <c r="AL8" s="74" t="e">
        <f>#REF!</f>
        <v>#REF!</v>
      </c>
      <c r="AM8" s="74"/>
      <c r="AN8" s="74"/>
      <c r="AO8" s="74"/>
      <c r="AP8" s="74"/>
      <c r="AQ8" s="74" t="e">
        <f>#REF!</f>
        <v>#REF!</v>
      </c>
      <c r="AR8" s="74"/>
      <c r="AS8" s="74"/>
      <c r="AT8" s="74"/>
      <c r="AU8" s="74"/>
      <c r="AV8" s="74" t="e">
        <f>#REF!</f>
        <v>#REF!</v>
      </c>
      <c r="AW8" s="74"/>
      <c r="AX8" s="74"/>
      <c r="AY8" s="74"/>
      <c r="AZ8" s="74"/>
      <c r="BA8" s="74" t="e">
        <f>#REF!</f>
        <v>#REF!</v>
      </c>
      <c r="BB8" s="74"/>
      <c r="BC8" s="74"/>
      <c r="BD8" s="74"/>
      <c r="BE8" s="74"/>
      <c r="BF8" s="74" t="e">
        <f>#REF!</f>
        <v>#REF!</v>
      </c>
      <c r="BG8" s="74"/>
      <c r="BH8" s="74"/>
      <c r="BI8" s="74"/>
      <c r="BJ8" s="74"/>
      <c r="BK8" s="74" t="e">
        <f>#REF!</f>
        <v>#REF!</v>
      </c>
      <c r="BL8" s="74"/>
      <c r="BM8" s="74"/>
      <c r="BN8" s="74"/>
      <c r="BO8" s="74"/>
      <c r="BP8" s="74" t="e">
        <f>#REF!</f>
        <v>#REF!</v>
      </c>
      <c r="BQ8" s="74"/>
      <c r="BR8" s="74"/>
      <c r="BS8" s="74"/>
      <c r="BT8" s="74"/>
      <c r="BU8" s="74" t="e">
        <f>#REF!</f>
        <v>#REF!</v>
      </c>
      <c r="BV8" s="74"/>
      <c r="BW8" s="74"/>
      <c r="BX8" s="74"/>
      <c r="BY8" s="74"/>
      <c r="BZ8" s="74" t="e">
        <f>#REF!</f>
        <v>#REF!</v>
      </c>
      <c r="CA8" s="74"/>
      <c r="CB8" s="74"/>
      <c r="CC8" s="74"/>
      <c r="CD8" s="74"/>
      <c r="CE8" s="74" t="e">
        <f>#REF!</f>
        <v>#REF!</v>
      </c>
      <c r="CF8" s="74"/>
      <c r="CG8" s="74"/>
      <c r="CH8" s="74"/>
      <c r="CI8" s="74"/>
      <c r="CJ8" s="74" t="e">
        <f>#REF!</f>
        <v>#REF!</v>
      </c>
      <c r="CK8" s="74"/>
      <c r="CL8" s="74"/>
      <c r="CM8" s="74"/>
      <c r="CN8" s="74"/>
    </row>
    <row r="9" spans="1:92" ht="13.5" customHeight="1" x14ac:dyDescent="0.25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26" t="s">
        <v>144</v>
      </c>
      <c r="N9" s="27" t="s">
        <v>144</v>
      </c>
      <c r="O9" s="27" t="s">
        <v>145</v>
      </c>
      <c r="P9" s="27" t="s">
        <v>146</v>
      </c>
      <c r="Q9" s="28" t="s">
        <v>147</v>
      </c>
      <c r="R9" s="26" t="s">
        <v>144</v>
      </c>
      <c r="S9" s="27" t="s">
        <v>144</v>
      </c>
      <c r="T9" s="27" t="s">
        <v>145</v>
      </c>
      <c r="U9" s="27" t="s">
        <v>146</v>
      </c>
      <c r="V9" s="28" t="s">
        <v>147</v>
      </c>
      <c r="W9" s="26" t="s">
        <v>144</v>
      </c>
      <c r="X9" s="27" t="s">
        <v>144</v>
      </c>
      <c r="Y9" s="27" t="s">
        <v>145</v>
      </c>
      <c r="Z9" s="27" t="s">
        <v>146</v>
      </c>
      <c r="AA9" s="28" t="s">
        <v>147</v>
      </c>
      <c r="AB9" s="26" t="s">
        <v>144</v>
      </c>
      <c r="AC9" s="27" t="s">
        <v>144</v>
      </c>
      <c r="AD9" s="27" t="s">
        <v>145</v>
      </c>
      <c r="AE9" s="27" t="s">
        <v>146</v>
      </c>
      <c r="AF9" s="28" t="s">
        <v>147</v>
      </c>
      <c r="AG9" s="26" t="s">
        <v>144</v>
      </c>
      <c r="AH9" s="27" t="s">
        <v>144</v>
      </c>
      <c r="AI9" s="27" t="s">
        <v>145</v>
      </c>
      <c r="AJ9" s="27" t="s">
        <v>146</v>
      </c>
      <c r="AK9" s="28" t="s">
        <v>147</v>
      </c>
      <c r="AL9" s="26" t="s">
        <v>144</v>
      </c>
      <c r="AM9" s="27" t="s">
        <v>144</v>
      </c>
      <c r="AN9" s="27" t="s">
        <v>145</v>
      </c>
      <c r="AO9" s="27" t="s">
        <v>146</v>
      </c>
      <c r="AP9" s="28" t="s">
        <v>147</v>
      </c>
      <c r="AQ9" s="26" t="s">
        <v>144</v>
      </c>
      <c r="AR9" s="27" t="s">
        <v>144</v>
      </c>
      <c r="AS9" s="27" t="s">
        <v>145</v>
      </c>
      <c r="AT9" s="27" t="s">
        <v>146</v>
      </c>
      <c r="AU9" s="28" t="s">
        <v>147</v>
      </c>
      <c r="AV9" s="26" t="s">
        <v>144</v>
      </c>
      <c r="AW9" s="27" t="s">
        <v>144</v>
      </c>
      <c r="AX9" s="27" t="s">
        <v>145</v>
      </c>
      <c r="AY9" s="27" t="s">
        <v>146</v>
      </c>
      <c r="AZ9" s="28" t="s">
        <v>147</v>
      </c>
      <c r="BA9" s="26" t="s">
        <v>144</v>
      </c>
      <c r="BB9" s="27" t="s">
        <v>144</v>
      </c>
      <c r="BC9" s="27" t="s">
        <v>145</v>
      </c>
      <c r="BD9" s="27" t="s">
        <v>146</v>
      </c>
      <c r="BE9" s="28" t="s">
        <v>147</v>
      </c>
      <c r="BF9" s="26" t="s">
        <v>144</v>
      </c>
      <c r="BG9" s="27" t="s">
        <v>144</v>
      </c>
      <c r="BH9" s="27" t="s">
        <v>145</v>
      </c>
      <c r="BI9" s="27" t="s">
        <v>146</v>
      </c>
      <c r="BJ9" s="28" t="s">
        <v>147</v>
      </c>
      <c r="BK9" s="26" t="s">
        <v>144</v>
      </c>
      <c r="BL9" s="27" t="s">
        <v>144</v>
      </c>
      <c r="BM9" s="27" t="s">
        <v>145</v>
      </c>
      <c r="BN9" s="27" t="s">
        <v>146</v>
      </c>
      <c r="BO9" s="28" t="s">
        <v>147</v>
      </c>
      <c r="BP9" s="26" t="s">
        <v>144</v>
      </c>
      <c r="BQ9" s="27" t="s">
        <v>144</v>
      </c>
      <c r="BR9" s="27" t="s">
        <v>145</v>
      </c>
      <c r="BS9" s="27" t="s">
        <v>146</v>
      </c>
      <c r="BT9" s="28" t="s">
        <v>147</v>
      </c>
      <c r="BU9" s="26" t="s">
        <v>144</v>
      </c>
      <c r="BV9" s="27" t="s">
        <v>144</v>
      </c>
      <c r="BW9" s="27" t="s">
        <v>145</v>
      </c>
      <c r="BX9" s="27" t="s">
        <v>146</v>
      </c>
      <c r="BY9" s="28" t="s">
        <v>147</v>
      </c>
      <c r="BZ9" s="26" t="s">
        <v>144</v>
      </c>
      <c r="CA9" s="27" t="s">
        <v>144</v>
      </c>
      <c r="CB9" s="27" t="s">
        <v>145</v>
      </c>
      <c r="CC9" s="27" t="s">
        <v>146</v>
      </c>
      <c r="CD9" s="28" t="s">
        <v>147</v>
      </c>
      <c r="CE9" s="26" t="s">
        <v>144</v>
      </c>
      <c r="CF9" s="27" t="s">
        <v>144</v>
      </c>
      <c r="CG9" s="27" t="s">
        <v>145</v>
      </c>
      <c r="CH9" s="27" t="s">
        <v>146</v>
      </c>
      <c r="CI9" s="28" t="s">
        <v>147</v>
      </c>
      <c r="CJ9" s="26" t="s">
        <v>144</v>
      </c>
      <c r="CK9" s="27" t="s">
        <v>144</v>
      </c>
      <c r="CL9" s="27" t="s">
        <v>145</v>
      </c>
      <c r="CM9" s="27" t="s">
        <v>146</v>
      </c>
      <c r="CN9" s="28" t="s">
        <v>147</v>
      </c>
    </row>
    <row r="10" spans="1:92" ht="15" customHeight="1" x14ac:dyDescent="0.25">
      <c r="A10" s="29" t="str">
        <f>'Kamus WBS'!A6</f>
        <v>1</v>
      </c>
      <c r="B10" s="30" t="str">
        <f>'Kamus WBS'!B6</f>
        <v>Manajemen Proyek</v>
      </c>
      <c r="C10" s="31" t="str">
        <f>'Kamus WBS'!D6</f>
        <v>PM</v>
      </c>
      <c r="D10" s="32">
        <f>G10-F10+1</f>
        <v>70</v>
      </c>
      <c r="E10" s="32" t="s">
        <v>148</v>
      </c>
      <c r="F10" s="32">
        <f>MIN(F11:F12)</f>
        <v>1</v>
      </c>
      <c r="G10" s="32">
        <f>MAX(G11:G12)</f>
        <v>70</v>
      </c>
      <c r="H10" s="33" t="str">
        <f>IFERROR(INDEX(#REF!,MATCH(F10,#REF!,0)),"—")</f>
        <v>—</v>
      </c>
      <c r="I10" s="33" t="str">
        <f>IFERROR(INDEX(#REF!,MATCH(G10,#REF!,0)),"—")</f>
        <v>—</v>
      </c>
      <c r="J10" s="32" t="str">
        <f>IFERROR(INDEX(#REF!,MATCH(F10,#REF!,0)),"—")</f>
        <v>—</v>
      </c>
      <c r="K10" s="32" t="str">
        <f>IFERROR(INDEX(#REF!,MATCH(G10,#REF!,0)),"—")</f>
        <v>—</v>
      </c>
      <c r="L10" s="34" t="str">
        <f>IF(COUNTIF(L11:L12,"✓ Selesai")=ROWS(L11:L12),"✓ Selesai",IF(COUNTIF(L11:L12,"Terlambat")&gt;0,"Terlambat",IF(COUNTIF(L11:L12,"Revisi")&gt;0,"Revisi","Belum")))</f>
        <v>✓ Selesai</v>
      </c>
      <c r="M10" s="35"/>
      <c r="N10" s="36"/>
      <c r="O10" s="36"/>
      <c r="P10" s="36"/>
      <c r="Q10" s="36"/>
      <c r="R10" s="35"/>
      <c r="S10" s="36"/>
      <c r="T10" s="36"/>
      <c r="U10" s="36"/>
      <c r="V10" s="36"/>
      <c r="W10" s="35"/>
      <c r="X10" s="36"/>
      <c r="Y10" s="36"/>
      <c r="Z10" s="36"/>
      <c r="AA10" s="36"/>
      <c r="AB10" s="35"/>
      <c r="AC10" s="36"/>
      <c r="AD10" s="36"/>
      <c r="AE10" s="36"/>
      <c r="AF10" s="36"/>
      <c r="AG10" s="35"/>
      <c r="AH10" s="36"/>
      <c r="AI10" s="36"/>
      <c r="AJ10" s="36"/>
      <c r="AK10" s="36"/>
      <c r="AL10" s="35"/>
      <c r="AM10" s="36"/>
      <c r="AN10" s="36"/>
      <c r="AO10" s="36"/>
      <c r="AP10" s="36"/>
      <c r="AQ10" s="35"/>
      <c r="AR10" s="36"/>
      <c r="AS10" s="36"/>
      <c r="AT10" s="36"/>
      <c r="AU10" s="36"/>
      <c r="AV10" s="35"/>
      <c r="AW10" s="36"/>
      <c r="AX10" s="36"/>
      <c r="AY10" s="36"/>
      <c r="AZ10" s="36"/>
      <c r="BA10" s="35"/>
      <c r="BB10" s="36"/>
      <c r="BC10" s="36"/>
      <c r="BD10" s="36"/>
      <c r="BE10" s="36"/>
      <c r="BF10" s="35"/>
      <c r="BG10" s="36"/>
      <c r="BH10" s="36"/>
      <c r="BI10" s="36"/>
      <c r="BJ10" s="36"/>
      <c r="BK10" s="35"/>
      <c r="BL10" s="36"/>
      <c r="BM10" s="36"/>
      <c r="BN10" s="36"/>
      <c r="BO10" s="36"/>
      <c r="BP10" s="35"/>
      <c r="BQ10" s="36"/>
      <c r="BR10" s="36"/>
      <c r="BS10" s="36"/>
      <c r="BT10" s="36"/>
      <c r="BU10" s="35"/>
      <c r="BV10" s="36"/>
      <c r="BW10" s="36"/>
      <c r="BX10" s="36"/>
      <c r="BY10" s="36"/>
      <c r="BZ10" s="35"/>
      <c r="CA10" s="36"/>
      <c r="CB10" s="36"/>
      <c r="CC10" s="36"/>
      <c r="CD10" s="36"/>
      <c r="CE10" s="35"/>
      <c r="CF10" s="36"/>
      <c r="CG10" s="36"/>
      <c r="CH10" s="36"/>
      <c r="CI10" s="36"/>
      <c r="CJ10" s="35"/>
      <c r="CK10" s="36"/>
      <c r="CL10" s="36"/>
      <c r="CM10" s="36"/>
      <c r="CN10" s="36"/>
    </row>
    <row r="11" spans="1:92" ht="15" customHeight="1" x14ac:dyDescent="0.25">
      <c r="A11" s="37" t="str">
        <f>'Kamus WBS'!A7</f>
        <v>1.1</v>
      </c>
      <c r="B11" s="38" t="str">
        <f>'Kamus WBS'!B7</f>
        <v>Rapat mingguan tim &amp; klien</v>
      </c>
      <c r="C11" s="39" t="str">
        <f>'Kamus WBS'!D7</f>
        <v>PM</v>
      </c>
      <c r="D11" s="40">
        <f>G11-F11+1</f>
        <v>70</v>
      </c>
      <c r="E11" s="41" t="s">
        <v>148</v>
      </c>
      <c r="F11" s="40">
        <f>IF(OR(E11="",E11="—"),1,INDEX($G$10:$G$45,MATCH(E11,$A$10:$A$45,0))+1)</f>
        <v>1</v>
      </c>
      <c r="G11" s="40">
        <f>MAX(G13,G18,G23,G28,G33,G37,G41)</f>
        <v>70</v>
      </c>
      <c r="H11" s="42" t="str">
        <f>IFERROR(INDEX(#REF!,MATCH(F11,#REF!,0)),"—")</f>
        <v>—</v>
      </c>
      <c r="I11" s="42" t="str">
        <f>IFERROR(INDEX(#REF!,MATCH(G11,#REF!,0)),"—")</f>
        <v>—</v>
      </c>
      <c r="J11" s="40" t="str">
        <f>IFERROR(INDEX(#REF!,MATCH(F11,#REF!,0)),"—")</f>
        <v>—</v>
      </c>
      <c r="K11" s="40" t="str">
        <f>IFERROR(INDEX(#REF!,MATCH(G11,#REF!,0)),"—")</f>
        <v>—</v>
      </c>
      <c r="L11" s="43" t="s">
        <v>166</v>
      </c>
      <c r="M11" s="44"/>
      <c r="N11" s="45"/>
      <c r="O11" s="45"/>
      <c r="P11" s="45"/>
      <c r="Q11" s="45"/>
      <c r="R11" s="44"/>
      <c r="S11" s="45"/>
      <c r="T11" s="45"/>
      <c r="U11" s="45"/>
      <c r="V11" s="45"/>
      <c r="W11" s="44"/>
      <c r="X11" s="45"/>
      <c r="Y11" s="45"/>
      <c r="Z11" s="45"/>
      <c r="AA11" s="45"/>
      <c r="AB11" s="44"/>
      <c r="AC11" s="45"/>
      <c r="AD11" s="45"/>
      <c r="AE11" s="45"/>
      <c r="AF11" s="45"/>
      <c r="AG11" s="44"/>
      <c r="AH11" s="45"/>
      <c r="AI11" s="45"/>
      <c r="AJ11" s="45"/>
      <c r="AK11" s="45"/>
      <c r="AL11" s="44"/>
      <c r="AM11" s="45"/>
      <c r="AN11" s="45"/>
      <c r="AO11" s="45"/>
      <c r="AP11" s="45"/>
      <c r="AQ11" s="44"/>
      <c r="AR11" s="45"/>
      <c r="AS11" s="45"/>
      <c r="AT11" s="45"/>
      <c r="AU11" s="45"/>
      <c r="AV11" s="44"/>
      <c r="AW11" s="45"/>
      <c r="AX11" s="45"/>
      <c r="AY11" s="45"/>
      <c r="AZ11" s="45"/>
      <c r="BA11" s="44"/>
      <c r="BB11" s="45"/>
      <c r="BC11" s="45"/>
      <c r="BD11" s="45"/>
      <c r="BE11" s="45"/>
      <c r="BF11" s="44"/>
      <c r="BG11" s="45"/>
      <c r="BH11" s="45"/>
      <c r="BI11" s="45"/>
      <c r="BJ11" s="45"/>
      <c r="BK11" s="44"/>
      <c r="BL11" s="45"/>
      <c r="BM11" s="45"/>
      <c r="BN11" s="45"/>
      <c r="BO11" s="45"/>
      <c r="BP11" s="44"/>
      <c r="BQ11" s="45"/>
      <c r="BR11" s="45"/>
      <c r="BS11" s="45"/>
      <c r="BT11" s="45"/>
      <c r="BU11" s="44"/>
      <c r="BV11" s="45"/>
      <c r="BW11" s="45"/>
      <c r="BX11" s="45"/>
      <c r="BY11" s="45"/>
      <c r="BZ11" s="44"/>
      <c r="CA11" s="45"/>
      <c r="CB11" s="45"/>
      <c r="CC11" s="45"/>
      <c r="CD11" s="45"/>
      <c r="CE11" s="44"/>
      <c r="CF11" s="45"/>
      <c r="CG11" s="45"/>
      <c r="CH11" s="45"/>
      <c r="CI11" s="45"/>
      <c r="CJ11" s="44"/>
      <c r="CK11" s="45"/>
      <c r="CL11" s="45"/>
      <c r="CM11" s="45"/>
      <c r="CN11" s="45"/>
    </row>
    <row r="12" spans="1:92" ht="15" customHeight="1" x14ac:dyDescent="0.25">
      <c r="A12" s="37" t="str">
        <f>'Kamus WBS'!A8</f>
        <v>1.2</v>
      </c>
      <c r="B12" s="38" t="str">
        <f>'Kamus WBS'!B8</f>
        <v>Pemantauan jadwal &amp; risiko</v>
      </c>
      <c r="C12" s="39" t="str">
        <f>'Kamus WBS'!D8</f>
        <v>PM</v>
      </c>
      <c r="D12" s="40">
        <f>G12-F12+1</f>
        <v>70</v>
      </c>
      <c r="E12" s="41" t="s">
        <v>148</v>
      </c>
      <c r="F12" s="40">
        <f>IF(OR(E12="",E12="—"),1,INDEX($G$10:$G$45,MATCH(E12,$A$10:$A$45,0))+1)</f>
        <v>1</v>
      </c>
      <c r="G12" s="40">
        <f>MAX(G13,G18,G23,G28,G33,G37,G41)</f>
        <v>70</v>
      </c>
      <c r="H12" s="42" t="str">
        <f>IFERROR(INDEX(#REF!,MATCH(F12,#REF!,0)),"—")</f>
        <v>—</v>
      </c>
      <c r="I12" s="42" t="str">
        <f>IFERROR(INDEX(#REF!,MATCH(G12,#REF!,0)),"—")</f>
        <v>—</v>
      </c>
      <c r="J12" s="40" t="str">
        <f>IFERROR(INDEX(#REF!,MATCH(F12,#REF!,0)),"—")</f>
        <v>—</v>
      </c>
      <c r="K12" s="40" t="str">
        <f>IFERROR(INDEX(#REF!,MATCH(G12,#REF!,0)),"—")</f>
        <v>—</v>
      </c>
      <c r="L12" s="43" t="s">
        <v>166</v>
      </c>
      <c r="M12" s="44"/>
      <c r="N12" s="45"/>
      <c r="O12" s="45"/>
      <c r="P12" s="45"/>
      <c r="Q12" s="45"/>
      <c r="R12" s="44"/>
      <c r="S12" s="45"/>
      <c r="T12" s="45"/>
      <c r="U12" s="45"/>
      <c r="V12" s="45"/>
      <c r="W12" s="44"/>
      <c r="X12" s="45"/>
      <c r="Y12" s="45"/>
      <c r="Z12" s="45"/>
      <c r="AA12" s="45"/>
      <c r="AB12" s="44"/>
      <c r="AC12" s="45"/>
      <c r="AD12" s="45"/>
      <c r="AE12" s="45"/>
      <c r="AF12" s="45"/>
      <c r="AG12" s="44"/>
      <c r="AH12" s="45"/>
      <c r="AI12" s="45"/>
      <c r="AJ12" s="45"/>
      <c r="AK12" s="45"/>
      <c r="AL12" s="44"/>
      <c r="AM12" s="45"/>
      <c r="AN12" s="45"/>
      <c r="AO12" s="45"/>
      <c r="AP12" s="45"/>
      <c r="AQ12" s="44"/>
      <c r="AR12" s="45"/>
      <c r="AS12" s="45"/>
      <c r="AT12" s="45"/>
      <c r="AU12" s="45"/>
      <c r="AV12" s="44"/>
      <c r="AW12" s="45"/>
      <c r="AX12" s="45"/>
      <c r="AY12" s="45"/>
      <c r="AZ12" s="45"/>
      <c r="BA12" s="44"/>
      <c r="BB12" s="45"/>
      <c r="BC12" s="45"/>
      <c r="BD12" s="45"/>
      <c r="BE12" s="45"/>
      <c r="BF12" s="44"/>
      <c r="BG12" s="45"/>
      <c r="BH12" s="45"/>
      <c r="BI12" s="45"/>
      <c r="BJ12" s="45"/>
      <c r="BK12" s="44"/>
      <c r="BL12" s="45"/>
      <c r="BM12" s="45"/>
      <c r="BN12" s="45"/>
      <c r="BO12" s="45"/>
      <c r="BP12" s="44"/>
      <c r="BQ12" s="45"/>
      <c r="BR12" s="45"/>
      <c r="BS12" s="45"/>
      <c r="BT12" s="45"/>
      <c r="BU12" s="44"/>
      <c r="BV12" s="45"/>
      <c r="BW12" s="45"/>
      <c r="BX12" s="45"/>
      <c r="BY12" s="45"/>
      <c r="BZ12" s="44"/>
      <c r="CA12" s="45"/>
      <c r="CB12" s="45"/>
      <c r="CC12" s="45"/>
      <c r="CD12" s="45"/>
      <c r="CE12" s="44"/>
      <c r="CF12" s="45"/>
      <c r="CG12" s="45"/>
      <c r="CH12" s="45"/>
      <c r="CI12" s="45"/>
      <c r="CJ12" s="44"/>
      <c r="CK12" s="45"/>
      <c r="CL12" s="45"/>
      <c r="CM12" s="45"/>
      <c r="CN12" s="45"/>
    </row>
    <row r="13" spans="1:92" ht="15" customHeight="1" x14ac:dyDescent="0.25">
      <c r="A13" s="29" t="str">
        <f>'Kamus WBS'!A9</f>
        <v>2</v>
      </c>
      <c r="B13" s="30" t="str">
        <f>'Kamus WBS'!B9</f>
        <v>Definisi Proyek</v>
      </c>
      <c r="C13" s="31" t="str">
        <f>'Kamus WBS'!D9</f>
        <v>SA</v>
      </c>
      <c r="D13" s="32">
        <f>G13-F13+1</f>
        <v>10</v>
      </c>
      <c r="E13" s="32" t="s">
        <v>148</v>
      </c>
      <c r="F13" s="32">
        <f>MIN(F14:F17)</f>
        <v>1</v>
      </c>
      <c r="G13" s="32">
        <f>MAX(G14:G17)</f>
        <v>10</v>
      </c>
      <c r="H13" s="33" t="str">
        <f>IFERROR(INDEX(#REF!,MATCH(F13,#REF!,0)),"—")</f>
        <v>—</v>
      </c>
      <c r="I13" s="33" t="str">
        <f>IFERROR(INDEX(#REF!,MATCH(G13,#REF!,0)),"—")</f>
        <v>—</v>
      </c>
      <c r="J13" s="32" t="str">
        <f>IFERROR(INDEX(#REF!,MATCH(F13,#REF!,0)),"—")</f>
        <v>—</v>
      </c>
      <c r="K13" s="32" t="str">
        <f>IFERROR(INDEX(#REF!,MATCH(G13,#REF!,0)),"—")</f>
        <v>—</v>
      </c>
      <c r="L13" s="34" t="str">
        <f>IF(COUNTIF(L14:L17,"✓ Selesai")=ROWS(L14:L17),"✓ Selesai",IF(COUNTIF(L14:L17,"Terlambat")&gt;0,"Terlambat",IF(COUNTIF(L14:L17,"Revisi")&gt;0,"Revisi","Belum")))</f>
        <v>✓ Selesai</v>
      </c>
      <c r="M13" s="35"/>
      <c r="N13" s="36"/>
      <c r="O13" s="36"/>
      <c r="P13" s="36"/>
      <c r="Q13" s="36"/>
      <c r="R13" s="35"/>
      <c r="S13" s="36"/>
      <c r="T13" s="36"/>
      <c r="U13" s="36"/>
      <c r="V13" s="36"/>
      <c r="W13" s="35"/>
      <c r="X13" s="36"/>
      <c r="Y13" s="36"/>
      <c r="Z13" s="36"/>
      <c r="AA13" s="36"/>
      <c r="AB13" s="35"/>
      <c r="AC13" s="36"/>
      <c r="AD13" s="36"/>
      <c r="AE13" s="36"/>
      <c r="AF13" s="36"/>
      <c r="AG13" s="35"/>
      <c r="AH13" s="36"/>
      <c r="AI13" s="36"/>
      <c r="AJ13" s="36"/>
      <c r="AK13" s="36"/>
      <c r="AL13" s="35"/>
      <c r="AM13" s="36"/>
      <c r="AN13" s="36"/>
      <c r="AO13" s="36"/>
      <c r="AP13" s="36"/>
      <c r="AQ13" s="35"/>
      <c r="AR13" s="36"/>
      <c r="AS13" s="36"/>
      <c r="AT13" s="36"/>
      <c r="AU13" s="36"/>
      <c r="AV13" s="35"/>
      <c r="AW13" s="36"/>
      <c r="AX13" s="36"/>
      <c r="AY13" s="36"/>
      <c r="AZ13" s="36"/>
      <c r="BA13" s="35"/>
      <c r="BB13" s="36"/>
      <c r="BC13" s="36"/>
      <c r="BD13" s="36"/>
      <c r="BE13" s="36"/>
      <c r="BF13" s="35"/>
      <c r="BG13" s="36"/>
      <c r="BH13" s="36"/>
      <c r="BI13" s="36"/>
      <c r="BJ13" s="36"/>
      <c r="BK13" s="35"/>
      <c r="BL13" s="36"/>
      <c r="BM13" s="36"/>
      <c r="BN13" s="36"/>
      <c r="BO13" s="36"/>
      <c r="BP13" s="35"/>
      <c r="BQ13" s="36"/>
      <c r="BR13" s="36"/>
      <c r="BS13" s="36"/>
      <c r="BT13" s="36"/>
      <c r="BU13" s="35"/>
      <c r="BV13" s="36"/>
      <c r="BW13" s="36"/>
      <c r="BX13" s="36"/>
      <c r="BY13" s="36"/>
      <c r="BZ13" s="35"/>
      <c r="CA13" s="36"/>
      <c r="CB13" s="36"/>
      <c r="CC13" s="36"/>
      <c r="CD13" s="36"/>
      <c r="CE13" s="35"/>
      <c r="CF13" s="36"/>
      <c r="CG13" s="36"/>
      <c r="CH13" s="36"/>
      <c r="CI13" s="36"/>
      <c r="CJ13" s="35"/>
      <c r="CK13" s="36"/>
      <c r="CL13" s="36"/>
      <c r="CM13" s="36"/>
      <c r="CN13" s="36"/>
    </row>
    <row r="14" spans="1:92" ht="15" customHeight="1" x14ac:dyDescent="0.25">
      <c r="A14" s="37" t="str">
        <f>'Kamus WBS'!A10</f>
        <v>2.1</v>
      </c>
      <c r="B14" s="38" t="str">
        <f>'Kamus WBS'!B10</f>
        <v>Identifikasi klien &amp; masalah</v>
      </c>
      <c r="C14" s="39" t="str">
        <f>'Kamus WBS'!D10</f>
        <v>SA</v>
      </c>
      <c r="D14" s="46">
        <f>'Kamus WBS'!E10</f>
        <v>3</v>
      </c>
      <c r="E14" s="41" t="s">
        <v>148</v>
      </c>
      <c r="F14" s="40">
        <f>IF(OR(E14="",E14="—"),1,INDEX($G$10:$G$45,MATCH(E14,$A$10:$A$45,0))+1)</f>
        <v>1</v>
      </c>
      <c r="G14" s="40">
        <f>F14+D14-1</f>
        <v>3</v>
      </c>
      <c r="H14" s="42" t="str">
        <f>IFERROR(INDEX(#REF!,MATCH(F14,#REF!,0)),"—")</f>
        <v>—</v>
      </c>
      <c r="I14" s="42" t="str">
        <f>IFERROR(INDEX(#REF!,MATCH(G14,#REF!,0)),"—")</f>
        <v>—</v>
      </c>
      <c r="J14" s="40" t="str">
        <f>IFERROR(INDEX(#REF!,MATCH(F14,#REF!,0)),"—")</f>
        <v>—</v>
      </c>
      <c r="K14" s="40" t="str">
        <f>IFERROR(INDEX(#REF!,MATCH(G14,#REF!,0)),"—")</f>
        <v>—</v>
      </c>
      <c r="L14" s="43" t="s">
        <v>166</v>
      </c>
      <c r="M14" s="44"/>
      <c r="N14" s="45"/>
      <c r="O14" s="45"/>
      <c r="P14" s="45"/>
      <c r="Q14" s="45"/>
      <c r="R14" s="44"/>
      <c r="S14" s="45"/>
      <c r="T14" s="45"/>
      <c r="U14" s="45"/>
      <c r="V14" s="45"/>
      <c r="W14" s="44"/>
      <c r="X14" s="45"/>
      <c r="Y14" s="45"/>
      <c r="Z14" s="45"/>
      <c r="AA14" s="45"/>
      <c r="AB14" s="44"/>
      <c r="AC14" s="45"/>
      <c r="AD14" s="45"/>
      <c r="AE14" s="45"/>
      <c r="AF14" s="45"/>
      <c r="AG14" s="44"/>
      <c r="AH14" s="45"/>
      <c r="AI14" s="45"/>
      <c r="AJ14" s="45"/>
      <c r="AK14" s="45"/>
      <c r="AL14" s="44"/>
      <c r="AM14" s="45"/>
      <c r="AN14" s="45"/>
      <c r="AO14" s="45"/>
      <c r="AP14" s="45"/>
      <c r="AQ14" s="44"/>
      <c r="AR14" s="45"/>
      <c r="AS14" s="45"/>
      <c r="AT14" s="45"/>
      <c r="AU14" s="45"/>
      <c r="AV14" s="44"/>
      <c r="AW14" s="45"/>
      <c r="AX14" s="45"/>
      <c r="AY14" s="45"/>
      <c r="AZ14" s="45"/>
      <c r="BA14" s="44"/>
      <c r="BB14" s="45"/>
      <c r="BC14" s="45"/>
      <c r="BD14" s="45"/>
      <c r="BE14" s="45"/>
      <c r="BF14" s="44"/>
      <c r="BG14" s="45"/>
      <c r="BH14" s="45"/>
      <c r="BI14" s="45"/>
      <c r="BJ14" s="45"/>
      <c r="BK14" s="44"/>
      <c r="BL14" s="45"/>
      <c r="BM14" s="45"/>
      <c r="BN14" s="45"/>
      <c r="BO14" s="45"/>
      <c r="BP14" s="44"/>
      <c r="BQ14" s="45"/>
      <c r="BR14" s="45"/>
      <c r="BS14" s="45"/>
      <c r="BT14" s="45"/>
      <c r="BU14" s="44"/>
      <c r="BV14" s="45"/>
      <c r="BW14" s="45"/>
      <c r="BX14" s="45"/>
      <c r="BY14" s="45"/>
      <c r="BZ14" s="44"/>
      <c r="CA14" s="45"/>
      <c r="CB14" s="45"/>
      <c r="CC14" s="45"/>
      <c r="CD14" s="45"/>
      <c r="CE14" s="44"/>
      <c r="CF14" s="45"/>
      <c r="CG14" s="45"/>
      <c r="CH14" s="45"/>
      <c r="CI14" s="45"/>
      <c r="CJ14" s="44"/>
      <c r="CK14" s="45"/>
      <c r="CL14" s="45"/>
      <c r="CM14" s="45"/>
      <c r="CN14" s="45"/>
    </row>
    <row r="15" spans="1:92" ht="15" customHeight="1" x14ac:dyDescent="0.25">
      <c r="A15" s="37" t="str">
        <f>'Kamus WBS'!A11</f>
        <v>2.2</v>
      </c>
      <c r="B15" s="38" t="str">
        <f>'Kamus WBS'!B11</f>
        <v>Penentuan tujuan, lingkup &amp; batasan</v>
      </c>
      <c r="C15" s="39" t="str">
        <f>'Kamus WBS'!D11</f>
        <v>SA</v>
      </c>
      <c r="D15" s="46">
        <f>'Kamus WBS'!E11</f>
        <v>2</v>
      </c>
      <c r="E15" s="41" t="s">
        <v>25</v>
      </c>
      <c r="F15" s="40">
        <f>IF(OR(E15="",E15="—"),1,INDEX($G$10:$G$45,MATCH(E15,$A$10:$A$45,0))+1)</f>
        <v>4</v>
      </c>
      <c r="G15" s="40">
        <f>F15+D15-1</f>
        <v>5</v>
      </c>
      <c r="H15" s="42" t="str">
        <f>IFERROR(INDEX(#REF!,MATCH(F15,#REF!,0)),"—")</f>
        <v>—</v>
      </c>
      <c r="I15" s="42" t="str">
        <f>IFERROR(INDEX(#REF!,MATCH(G15,#REF!,0)),"—")</f>
        <v>—</v>
      </c>
      <c r="J15" s="40" t="str">
        <f>IFERROR(INDEX(#REF!,MATCH(F15,#REF!,0)),"—")</f>
        <v>—</v>
      </c>
      <c r="K15" s="40" t="str">
        <f>IFERROR(INDEX(#REF!,MATCH(G15,#REF!,0)),"—")</f>
        <v>—</v>
      </c>
      <c r="L15" s="43" t="s">
        <v>166</v>
      </c>
      <c r="M15" s="44"/>
      <c r="N15" s="45"/>
      <c r="O15" s="45"/>
      <c r="P15" s="45"/>
      <c r="Q15" s="45"/>
      <c r="R15" s="44"/>
      <c r="S15" s="45"/>
      <c r="T15" s="45"/>
      <c r="U15" s="45"/>
      <c r="V15" s="45"/>
      <c r="W15" s="44"/>
      <c r="X15" s="45"/>
      <c r="Y15" s="45"/>
      <c r="Z15" s="45"/>
      <c r="AA15" s="45"/>
      <c r="AB15" s="44"/>
      <c r="AC15" s="45"/>
      <c r="AD15" s="45"/>
      <c r="AE15" s="45"/>
      <c r="AF15" s="45"/>
      <c r="AG15" s="44"/>
      <c r="AH15" s="45"/>
      <c r="AI15" s="45"/>
      <c r="AJ15" s="45"/>
      <c r="AK15" s="45"/>
      <c r="AL15" s="44"/>
      <c r="AM15" s="45"/>
      <c r="AN15" s="45"/>
      <c r="AO15" s="45"/>
      <c r="AP15" s="45"/>
      <c r="AQ15" s="44"/>
      <c r="AR15" s="45"/>
      <c r="AS15" s="45"/>
      <c r="AT15" s="45"/>
      <c r="AU15" s="45"/>
      <c r="AV15" s="44"/>
      <c r="AW15" s="45"/>
      <c r="AX15" s="45"/>
      <c r="AY15" s="45"/>
      <c r="AZ15" s="45"/>
      <c r="BA15" s="44"/>
      <c r="BB15" s="45"/>
      <c r="BC15" s="45"/>
      <c r="BD15" s="45"/>
      <c r="BE15" s="45"/>
      <c r="BF15" s="44"/>
      <c r="BG15" s="45"/>
      <c r="BH15" s="45"/>
      <c r="BI15" s="45"/>
      <c r="BJ15" s="45"/>
      <c r="BK15" s="44"/>
      <c r="BL15" s="45"/>
      <c r="BM15" s="45"/>
      <c r="BN15" s="45"/>
      <c r="BO15" s="45"/>
      <c r="BP15" s="44"/>
      <c r="BQ15" s="45"/>
      <c r="BR15" s="45"/>
      <c r="BS15" s="45"/>
      <c r="BT15" s="45"/>
      <c r="BU15" s="44"/>
      <c r="BV15" s="45"/>
      <c r="BW15" s="45"/>
      <c r="BX15" s="45"/>
      <c r="BY15" s="45"/>
      <c r="BZ15" s="44"/>
      <c r="CA15" s="45"/>
      <c r="CB15" s="45"/>
      <c r="CC15" s="45"/>
      <c r="CD15" s="45"/>
      <c r="CE15" s="44"/>
      <c r="CF15" s="45"/>
      <c r="CG15" s="45"/>
      <c r="CH15" s="45"/>
      <c r="CI15" s="45"/>
      <c r="CJ15" s="44"/>
      <c r="CK15" s="45"/>
      <c r="CL15" s="45"/>
      <c r="CM15" s="45"/>
      <c r="CN15" s="45"/>
    </row>
    <row r="16" spans="1:92" ht="15" customHeight="1" x14ac:dyDescent="0.25">
      <c r="A16" s="37" t="str">
        <f>'Kamus WBS'!A12</f>
        <v>2.3</v>
      </c>
      <c r="B16" s="38" t="str">
        <f>'Kamus WBS'!B12</f>
        <v>Alternatif solusi &amp; metodologi</v>
      </c>
      <c r="C16" s="39" t="str">
        <f>'Kamus WBS'!D12</f>
        <v>SA</v>
      </c>
      <c r="D16" s="46">
        <f>'Kamus WBS'!E12</f>
        <v>3</v>
      </c>
      <c r="E16" s="41" t="s">
        <v>28</v>
      </c>
      <c r="F16" s="40">
        <f>IF(OR(E16="",E16="—"),1,INDEX($G$10:$G$45,MATCH(E16,$A$10:$A$45,0))+1)</f>
        <v>6</v>
      </c>
      <c r="G16" s="40">
        <f>F16+D16-1</f>
        <v>8</v>
      </c>
      <c r="H16" s="42" t="str">
        <f>IFERROR(INDEX(#REF!,MATCH(F16,#REF!,0)),"—")</f>
        <v>—</v>
      </c>
      <c r="I16" s="42" t="str">
        <f>IFERROR(INDEX(#REF!,MATCH(G16,#REF!,0)),"—")</f>
        <v>—</v>
      </c>
      <c r="J16" s="40" t="str">
        <f>IFERROR(INDEX(#REF!,MATCH(F16,#REF!,0)),"—")</f>
        <v>—</v>
      </c>
      <c r="K16" s="40" t="str">
        <f>IFERROR(INDEX(#REF!,MATCH(G16,#REF!,0)),"—")</f>
        <v>—</v>
      </c>
      <c r="L16" s="43" t="s">
        <v>166</v>
      </c>
      <c r="M16" s="44"/>
      <c r="N16" s="45"/>
      <c r="O16" s="45"/>
      <c r="P16" s="45"/>
      <c r="Q16" s="45"/>
      <c r="R16" s="44"/>
      <c r="S16" s="45"/>
      <c r="T16" s="45"/>
      <c r="U16" s="45"/>
      <c r="V16" s="45"/>
      <c r="W16" s="44"/>
      <c r="X16" s="45"/>
      <c r="Y16" s="45"/>
      <c r="Z16" s="45"/>
      <c r="AA16" s="45"/>
      <c r="AB16" s="44"/>
      <c r="AC16" s="45"/>
      <c r="AD16" s="45"/>
      <c r="AE16" s="45"/>
      <c r="AF16" s="45"/>
      <c r="AG16" s="44"/>
      <c r="AH16" s="45"/>
      <c r="AI16" s="45"/>
      <c r="AJ16" s="45"/>
      <c r="AK16" s="45"/>
      <c r="AL16" s="44"/>
      <c r="AM16" s="45"/>
      <c r="AN16" s="45"/>
      <c r="AO16" s="45"/>
      <c r="AP16" s="45"/>
      <c r="AQ16" s="44"/>
      <c r="AR16" s="45"/>
      <c r="AS16" s="45"/>
      <c r="AT16" s="45"/>
      <c r="AU16" s="45"/>
      <c r="AV16" s="44"/>
      <c r="AW16" s="45"/>
      <c r="AX16" s="45"/>
      <c r="AY16" s="45"/>
      <c r="AZ16" s="45"/>
      <c r="BA16" s="44"/>
      <c r="BB16" s="45"/>
      <c r="BC16" s="45"/>
      <c r="BD16" s="45"/>
      <c r="BE16" s="45"/>
      <c r="BF16" s="44"/>
      <c r="BG16" s="45"/>
      <c r="BH16" s="45"/>
      <c r="BI16" s="45"/>
      <c r="BJ16" s="45"/>
      <c r="BK16" s="44"/>
      <c r="BL16" s="45"/>
      <c r="BM16" s="45"/>
      <c r="BN16" s="45"/>
      <c r="BO16" s="45"/>
      <c r="BP16" s="44"/>
      <c r="BQ16" s="45"/>
      <c r="BR16" s="45"/>
      <c r="BS16" s="45"/>
      <c r="BT16" s="45"/>
      <c r="BU16" s="44"/>
      <c r="BV16" s="45"/>
      <c r="BW16" s="45"/>
      <c r="BX16" s="45"/>
      <c r="BY16" s="45"/>
      <c r="BZ16" s="44"/>
      <c r="CA16" s="45"/>
      <c r="CB16" s="45"/>
      <c r="CC16" s="45"/>
      <c r="CD16" s="45"/>
      <c r="CE16" s="44"/>
      <c r="CF16" s="45"/>
      <c r="CG16" s="45"/>
      <c r="CH16" s="45"/>
      <c r="CI16" s="45"/>
      <c r="CJ16" s="44"/>
      <c r="CK16" s="45"/>
      <c r="CL16" s="45"/>
      <c r="CM16" s="45"/>
      <c r="CN16" s="45"/>
    </row>
    <row r="17" spans="1:92" ht="15" customHeight="1" x14ac:dyDescent="0.25">
      <c r="A17" s="37" t="str">
        <f>'Kamus WBS'!A13</f>
        <v>2.4</v>
      </c>
      <c r="B17" s="38" t="str">
        <f>'Kamus WBS'!B13</f>
        <v>Penyusunan RD &amp; persetujuan klien</v>
      </c>
      <c r="C17" s="39" t="str">
        <f>'Kamus WBS'!D13</f>
        <v>PM</v>
      </c>
      <c r="D17" s="46">
        <f>'Kamus WBS'!E13</f>
        <v>2</v>
      </c>
      <c r="E17" s="41" t="s">
        <v>31</v>
      </c>
      <c r="F17" s="40">
        <f>IF(OR(E17="",E17="—"),1,INDEX($G$10:$G$45,MATCH(E17,$A$10:$A$45,0))+1)</f>
        <v>9</v>
      </c>
      <c r="G17" s="40">
        <f>F17+D17-1</f>
        <v>10</v>
      </c>
      <c r="H17" s="42" t="str">
        <f>IFERROR(INDEX(#REF!,MATCH(F17,#REF!,0)),"—")</f>
        <v>—</v>
      </c>
      <c r="I17" s="42" t="str">
        <f>IFERROR(INDEX(#REF!,MATCH(G17,#REF!,0)),"—")</f>
        <v>—</v>
      </c>
      <c r="J17" s="40" t="str">
        <f>IFERROR(INDEX(#REF!,MATCH(F17,#REF!,0)),"—")</f>
        <v>—</v>
      </c>
      <c r="K17" s="40" t="str">
        <f>IFERROR(INDEX(#REF!,MATCH(G17,#REF!,0)),"—")</f>
        <v>—</v>
      </c>
      <c r="L17" s="43" t="s">
        <v>166</v>
      </c>
      <c r="M17" s="44"/>
      <c r="N17" s="45"/>
      <c r="O17" s="45"/>
      <c r="P17" s="45"/>
      <c r="Q17" s="45"/>
      <c r="R17" s="44"/>
      <c r="S17" s="45"/>
      <c r="T17" s="45"/>
      <c r="U17" s="45"/>
      <c r="V17" s="45"/>
      <c r="W17" s="44"/>
      <c r="X17" s="45"/>
      <c r="Y17" s="45"/>
      <c r="Z17" s="45"/>
      <c r="AA17" s="45"/>
      <c r="AB17" s="44"/>
      <c r="AC17" s="45"/>
      <c r="AD17" s="45"/>
      <c r="AE17" s="45"/>
      <c r="AF17" s="45"/>
      <c r="AG17" s="44"/>
      <c r="AH17" s="45"/>
      <c r="AI17" s="45"/>
      <c r="AJ17" s="45"/>
      <c r="AK17" s="45"/>
      <c r="AL17" s="44"/>
      <c r="AM17" s="45"/>
      <c r="AN17" s="45"/>
      <c r="AO17" s="45"/>
      <c r="AP17" s="45"/>
      <c r="AQ17" s="44"/>
      <c r="AR17" s="45"/>
      <c r="AS17" s="45"/>
      <c r="AT17" s="45"/>
      <c r="AU17" s="45"/>
      <c r="AV17" s="44"/>
      <c r="AW17" s="45"/>
      <c r="AX17" s="45"/>
      <c r="AY17" s="45"/>
      <c r="AZ17" s="45"/>
      <c r="BA17" s="44"/>
      <c r="BB17" s="45"/>
      <c r="BC17" s="45"/>
      <c r="BD17" s="45"/>
      <c r="BE17" s="45"/>
      <c r="BF17" s="44"/>
      <c r="BG17" s="45"/>
      <c r="BH17" s="45"/>
      <c r="BI17" s="45"/>
      <c r="BJ17" s="45"/>
      <c r="BK17" s="44"/>
      <c r="BL17" s="45"/>
      <c r="BM17" s="45"/>
      <c r="BN17" s="45"/>
      <c r="BO17" s="45"/>
      <c r="BP17" s="44"/>
      <c r="BQ17" s="45"/>
      <c r="BR17" s="45"/>
      <c r="BS17" s="45"/>
      <c r="BT17" s="45"/>
      <c r="BU17" s="44"/>
      <c r="BV17" s="45"/>
      <c r="BW17" s="45"/>
      <c r="BX17" s="45"/>
      <c r="BY17" s="45"/>
      <c r="BZ17" s="44"/>
      <c r="CA17" s="45"/>
      <c r="CB17" s="45"/>
      <c r="CC17" s="45"/>
      <c r="CD17" s="45"/>
      <c r="CE17" s="44"/>
      <c r="CF17" s="45"/>
      <c r="CG17" s="45"/>
      <c r="CH17" s="45"/>
      <c r="CI17" s="45"/>
      <c r="CJ17" s="44"/>
      <c r="CK17" s="45"/>
      <c r="CL17" s="45"/>
      <c r="CM17" s="45"/>
      <c r="CN17" s="45"/>
    </row>
    <row r="18" spans="1:92" ht="15" customHeight="1" x14ac:dyDescent="0.25">
      <c r="A18" s="29" t="str">
        <f>'Kamus WBS'!A14</f>
        <v>3</v>
      </c>
      <c r="B18" s="30" t="str">
        <f>'Kamus WBS'!B14</f>
        <v>Perencanaan</v>
      </c>
      <c r="C18" s="31" t="str">
        <f>'Kamus WBS'!D14</f>
        <v>PM</v>
      </c>
      <c r="D18" s="32">
        <f>G18-F18+1</f>
        <v>10</v>
      </c>
      <c r="E18" s="32" t="s">
        <v>21</v>
      </c>
      <c r="F18" s="32">
        <f>MIN(F19:F22)</f>
        <v>11</v>
      </c>
      <c r="G18" s="32">
        <f>MAX(G19:G22)</f>
        <v>20</v>
      </c>
      <c r="H18" s="33" t="str">
        <f>IFERROR(INDEX(#REF!,MATCH(F18,#REF!,0)),"—")</f>
        <v>—</v>
      </c>
      <c r="I18" s="33" t="str">
        <f>IFERROR(INDEX(#REF!,MATCH(G18,#REF!,0)),"—")</f>
        <v>—</v>
      </c>
      <c r="J18" s="32" t="str">
        <f>IFERROR(INDEX(#REF!,MATCH(F18,#REF!,0)),"—")</f>
        <v>—</v>
      </c>
      <c r="K18" s="32" t="str">
        <f>IFERROR(INDEX(#REF!,MATCH(G18,#REF!,0)),"—")</f>
        <v>—</v>
      </c>
      <c r="L18" s="34" t="str">
        <f>IF(COUNTIF(L19:L22,"✓ Selesai")=ROWS(L19:L22),"✓ Selesai",IF(COUNTIF(L19:L22,"Terlambat")&gt;0,"Terlambat",IF(COUNTIF(L19:L22,"Revisi")&gt;0,"Revisi","Belum")))</f>
        <v>✓ Selesai</v>
      </c>
      <c r="M18" s="35"/>
      <c r="N18" s="36"/>
      <c r="O18" s="36"/>
      <c r="P18" s="36"/>
      <c r="Q18" s="36"/>
      <c r="R18" s="35"/>
      <c r="S18" s="36"/>
      <c r="T18" s="36"/>
      <c r="U18" s="36"/>
      <c r="V18" s="36"/>
      <c r="W18" s="35"/>
      <c r="X18" s="36"/>
      <c r="Y18" s="36"/>
      <c r="Z18" s="36"/>
      <c r="AA18" s="36"/>
      <c r="AB18" s="35"/>
      <c r="AC18" s="36"/>
      <c r="AD18" s="36"/>
      <c r="AE18" s="36"/>
      <c r="AF18" s="36"/>
      <c r="AG18" s="35"/>
      <c r="AH18" s="36"/>
      <c r="AI18" s="36"/>
      <c r="AJ18" s="36"/>
      <c r="AK18" s="36"/>
      <c r="AL18" s="35"/>
      <c r="AM18" s="36"/>
      <c r="AN18" s="36"/>
      <c r="AO18" s="36"/>
      <c r="AP18" s="36"/>
      <c r="AQ18" s="35"/>
      <c r="AR18" s="36"/>
      <c r="AS18" s="36"/>
      <c r="AT18" s="36"/>
      <c r="AU18" s="36"/>
      <c r="AV18" s="35"/>
      <c r="AW18" s="36"/>
      <c r="AX18" s="36"/>
      <c r="AY18" s="36"/>
      <c r="AZ18" s="36"/>
      <c r="BA18" s="35"/>
      <c r="BB18" s="36"/>
      <c r="BC18" s="36"/>
      <c r="BD18" s="36"/>
      <c r="BE18" s="36"/>
      <c r="BF18" s="35"/>
      <c r="BG18" s="36"/>
      <c r="BH18" s="36"/>
      <c r="BI18" s="36"/>
      <c r="BJ18" s="36"/>
      <c r="BK18" s="35"/>
      <c r="BL18" s="36"/>
      <c r="BM18" s="36"/>
      <c r="BN18" s="36"/>
      <c r="BO18" s="36"/>
      <c r="BP18" s="35"/>
      <c r="BQ18" s="36"/>
      <c r="BR18" s="36"/>
      <c r="BS18" s="36"/>
      <c r="BT18" s="36"/>
      <c r="BU18" s="35"/>
      <c r="BV18" s="36"/>
      <c r="BW18" s="36"/>
      <c r="BX18" s="36"/>
      <c r="BY18" s="36"/>
      <c r="BZ18" s="35"/>
      <c r="CA18" s="36"/>
      <c r="CB18" s="36"/>
      <c r="CC18" s="36"/>
      <c r="CD18" s="36"/>
      <c r="CE18" s="35"/>
      <c r="CF18" s="36"/>
      <c r="CG18" s="36"/>
      <c r="CH18" s="36"/>
      <c r="CI18" s="36"/>
      <c r="CJ18" s="35"/>
      <c r="CK18" s="36"/>
      <c r="CL18" s="36"/>
      <c r="CM18" s="36"/>
      <c r="CN18" s="36"/>
    </row>
    <row r="19" spans="1:92" ht="15" customHeight="1" x14ac:dyDescent="0.25">
      <c r="A19" s="37" t="str">
        <f>'Kamus WBS'!A15</f>
        <v>3.1</v>
      </c>
      <c r="B19" s="38" t="str">
        <f>'Kamus WBS'!B15</f>
        <v>Proses bisnis &amp; gambaran sistem</v>
      </c>
      <c r="C19" s="39" t="str">
        <f>'Kamus WBS'!D15</f>
        <v>SA</v>
      </c>
      <c r="D19" s="46">
        <f>'Kamus WBS'!E15</f>
        <v>3</v>
      </c>
      <c r="E19" s="41" t="s">
        <v>34</v>
      </c>
      <c r="F19" s="40">
        <f>IF(OR(E19="",E19="—"),1,INDEX($G$10:$G$45,MATCH(E19,$A$10:$A$45,0))+1)</f>
        <v>11</v>
      </c>
      <c r="G19" s="40">
        <f>F19+D19-1</f>
        <v>13</v>
      </c>
      <c r="H19" s="42" t="str">
        <f>IFERROR(INDEX(#REF!,MATCH(F19,#REF!,0)),"—")</f>
        <v>—</v>
      </c>
      <c r="I19" s="42" t="str">
        <f>IFERROR(INDEX(#REF!,MATCH(G19,#REF!,0)),"—")</f>
        <v>—</v>
      </c>
      <c r="J19" s="40" t="str">
        <f>IFERROR(INDEX(#REF!,MATCH(F19,#REF!,0)),"—")</f>
        <v>—</v>
      </c>
      <c r="K19" s="40" t="str">
        <f>IFERROR(INDEX(#REF!,MATCH(G19,#REF!,0)),"—")</f>
        <v>—</v>
      </c>
      <c r="L19" s="43" t="s">
        <v>166</v>
      </c>
      <c r="M19" s="44"/>
      <c r="N19" s="45"/>
      <c r="O19" s="45"/>
      <c r="P19" s="45"/>
      <c r="Q19" s="45"/>
      <c r="R19" s="44"/>
      <c r="S19" s="45"/>
      <c r="T19" s="45"/>
      <c r="U19" s="45"/>
      <c r="V19" s="45"/>
      <c r="W19" s="44"/>
      <c r="X19" s="45"/>
      <c r="Y19" s="45"/>
      <c r="Z19" s="45"/>
      <c r="AA19" s="45"/>
      <c r="AB19" s="44"/>
      <c r="AC19" s="45"/>
      <c r="AD19" s="45"/>
      <c r="AE19" s="45"/>
      <c r="AF19" s="45"/>
      <c r="AG19" s="44"/>
      <c r="AH19" s="45"/>
      <c r="AI19" s="45"/>
      <c r="AJ19" s="45"/>
      <c r="AK19" s="45"/>
      <c r="AL19" s="44"/>
      <c r="AM19" s="45"/>
      <c r="AN19" s="45"/>
      <c r="AO19" s="45"/>
      <c r="AP19" s="45"/>
      <c r="AQ19" s="44"/>
      <c r="AR19" s="45"/>
      <c r="AS19" s="45"/>
      <c r="AT19" s="45"/>
      <c r="AU19" s="45"/>
      <c r="AV19" s="44"/>
      <c r="AW19" s="45"/>
      <c r="AX19" s="45"/>
      <c r="AY19" s="45"/>
      <c r="AZ19" s="45"/>
      <c r="BA19" s="44"/>
      <c r="BB19" s="45"/>
      <c r="BC19" s="45"/>
      <c r="BD19" s="45"/>
      <c r="BE19" s="45"/>
      <c r="BF19" s="44"/>
      <c r="BG19" s="45"/>
      <c r="BH19" s="45"/>
      <c r="BI19" s="45"/>
      <c r="BJ19" s="45"/>
      <c r="BK19" s="44"/>
      <c r="BL19" s="45"/>
      <c r="BM19" s="45"/>
      <c r="BN19" s="45"/>
      <c r="BO19" s="45"/>
      <c r="BP19" s="44"/>
      <c r="BQ19" s="45"/>
      <c r="BR19" s="45"/>
      <c r="BS19" s="45"/>
      <c r="BT19" s="45"/>
      <c r="BU19" s="44"/>
      <c r="BV19" s="45"/>
      <c r="BW19" s="45"/>
      <c r="BX19" s="45"/>
      <c r="BY19" s="45"/>
      <c r="BZ19" s="44"/>
      <c r="CA19" s="45"/>
      <c r="CB19" s="45"/>
      <c r="CC19" s="45"/>
      <c r="CD19" s="45"/>
      <c r="CE19" s="44"/>
      <c r="CF19" s="45"/>
      <c r="CG19" s="45"/>
      <c r="CH19" s="45"/>
      <c r="CI19" s="45"/>
      <c r="CJ19" s="44"/>
      <c r="CK19" s="45"/>
      <c r="CL19" s="45"/>
      <c r="CM19" s="45"/>
      <c r="CN19" s="45"/>
    </row>
    <row r="20" spans="1:92" ht="15" customHeight="1" x14ac:dyDescent="0.25">
      <c r="A20" s="37" t="str">
        <f>'Kamus WBS'!A16</f>
        <v>3.2</v>
      </c>
      <c r="B20" s="38" t="str">
        <f>'Kamus WBS'!B16</f>
        <v>Analisis kelayakan</v>
      </c>
      <c r="C20" s="39" t="str">
        <f>'Kamus WBS'!D16</f>
        <v>SA</v>
      </c>
      <c r="D20" s="46">
        <f>'Kamus WBS'!E16</f>
        <v>3</v>
      </c>
      <c r="E20" s="41" t="s">
        <v>40</v>
      </c>
      <c r="F20" s="40">
        <f>IF(OR(E20="",E20="—"),1,INDEX($G$10:$G$45,MATCH(E20,$A$10:$A$45,0))+1)</f>
        <v>14</v>
      </c>
      <c r="G20" s="40">
        <f>F20+D20-1</f>
        <v>16</v>
      </c>
      <c r="H20" s="42" t="str">
        <f>IFERROR(INDEX(#REF!,MATCH(F20,#REF!,0)),"—")</f>
        <v>—</v>
      </c>
      <c r="I20" s="42" t="str">
        <f>IFERROR(INDEX(#REF!,MATCH(G20,#REF!,0)),"—")</f>
        <v>—</v>
      </c>
      <c r="J20" s="40" t="str">
        <f>IFERROR(INDEX(#REF!,MATCH(F20,#REF!,0)),"—")</f>
        <v>—</v>
      </c>
      <c r="K20" s="40" t="str">
        <f>IFERROR(INDEX(#REF!,MATCH(G20,#REF!,0)),"—")</f>
        <v>—</v>
      </c>
      <c r="L20" s="43" t="s">
        <v>166</v>
      </c>
      <c r="M20" s="44"/>
      <c r="N20" s="45"/>
      <c r="O20" s="45"/>
      <c r="P20" s="45"/>
      <c r="Q20" s="45"/>
      <c r="R20" s="44"/>
      <c r="S20" s="45"/>
      <c r="T20" s="45"/>
      <c r="U20" s="45"/>
      <c r="V20" s="45"/>
      <c r="W20" s="44"/>
      <c r="X20" s="45"/>
      <c r="Y20" s="45"/>
      <c r="Z20" s="45"/>
      <c r="AA20" s="45"/>
      <c r="AB20" s="44"/>
      <c r="AC20" s="45"/>
      <c r="AD20" s="45"/>
      <c r="AE20" s="45"/>
      <c r="AF20" s="45"/>
      <c r="AG20" s="44"/>
      <c r="AH20" s="45"/>
      <c r="AI20" s="45"/>
      <c r="AJ20" s="45"/>
      <c r="AK20" s="45"/>
      <c r="AL20" s="44"/>
      <c r="AM20" s="45"/>
      <c r="AN20" s="45"/>
      <c r="AO20" s="45"/>
      <c r="AP20" s="45"/>
      <c r="AQ20" s="44"/>
      <c r="AR20" s="45"/>
      <c r="AS20" s="45"/>
      <c r="AT20" s="45"/>
      <c r="AU20" s="45"/>
      <c r="AV20" s="44"/>
      <c r="AW20" s="45"/>
      <c r="AX20" s="45"/>
      <c r="AY20" s="45"/>
      <c r="AZ20" s="45"/>
      <c r="BA20" s="44"/>
      <c r="BB20" s="45"/>
      <c r="BC20" s="45"/>
      <c r="BD20" s="45"/>
      <c r="BE20" s="45"/>
      <c r="BF20" s="44"/>
      <c r="BG20" s="45"/>
      <c r="BH20" s="45"/>
      <c r="BI20" s="45"/>
      <c r="BJ20" s="45"/>
      <c r="BK20" s="44"/>
      <c r="BL20" s="45"/>
      <c r="BM20" s="45"/>
      <c r="BN20" s="45"/>
      <c r="BO20" s="45"/>
      <c r="BP20" s="44"/>
      <c r="BQ20" s="45"/>
      <c r="BR20" s="45"/>
      <c r="BS20" s="45"/>
      <c r="BT20" s="45"/>
      <c r="BU20" s="44"/>
      <c r="BV20" s="45"/>
      <c r="BW20" s="45"/>
      <c r="BX20" s="45"/>
      <c r="BY20" s="45"/>
      <c r="BZ20" s="44"/>
      <c r="CA20" s="45"/>
      <c r="CB20" s="45"/>
      <c r="CC20" s="45"/>
      <c r="CD20" s="45"/>
      <c r="CE20" s="44"/>
      <c r="CF20" s="45"/>
      <c r="CG20" s="45"/>
      <c r="CH20" s="45"/>
      <c r="CI20" s="45"/>
      <c r="CJ20" s="44"/>
      <c r="CK20" s="45"/>
      <c r="CL20" s="45"/>
      <c r="CM20" s="45"/>
      <c r="CN20" s="45"/>
    </row>
    <row r="21" spans="1:92" ht="15" customHeight="1" x14ac:dyDescent="0.25">
      <c r="A21" s="37" t="str">
        <f>'Kamus WBS'!A17</f>
        <v>3.3</v>
      </c>
      <c r="B21" s="38" t="str">
        <f>'Kamus WBS'!B17</f>
        <v>WBS &amp; Gantt Chart</v>
      </c>
      <c r="C21" s="39" t="str">
        <f>'Kamus WBS'!D17</f>
        <v>PM</v>
      </c>
      <c r="D21" s="46">
        <f>'Kamus WBS'!E17</f>
        <v>2</v>
      </c>
      <c r="E21" s="41" t="s">
        <v>43</v>
      </c>
      <c r="F21" s="40">
        <f>IF(OR(E21="",E21="—"),1,INDEX($G$10:$G$45,MATCH(E21,$A$10:$A$45,0))+1)</f>
        <v>17</v>
      </c>
      <c r="G21" s="40">
        <f>F21+D21-1</f>
        <v>18</v>
      </c>
      <c r="H21" s="42" t="str">
        <f>IFERROR(INDEX(#REF!,MATCH(F21,#REF!,0)),"—")</f>
        <v>—</v>
      </c>
      <c r="I21" s="42" t="str">
        <f>IFERROR(INDEX(#REF!,MATCH(G21,#REF!,0)),"—")</f>
        <v>—</v>
      </c>
      <c r="J21" s="40" t="str">
        <f>IFERROR(INDEX(#REF!,MATCH(F21,#REF!,0)),"—")</f>
        <v>—</v>
      </c>
      <c r="K21" s="40" t="str">
        <f>IFERROR(INDEX(#REF!,MATCH(G21,#REF!,0)),"—")</f>
        <v>—</v>
      </c>
      <c r="L21" s="43" t="s">
        <v>166</v>
      </c>
      <c r="M21" s="44"/>
      <c r="N21" s="45"/>
      <c r="O21" s="45"/>
      <c r="P21" s="45"/>
      <c r="Q21" s="45"/>
      <c r="R21" s="44"/>
      <c r="S21" s="45"/>
      <c r="T21" s="45"/>
      <c r="U21" s="45"/>
      <c r="V21" s="45"/>
      <c r="W21" s="44"/>
      <c r="X21" s="45"/>
      <c r="Y21" s="45"/>
      <c r="Z21" s="45"/>
      <c r="AA21" s="45"/>
      <c r="AB21" s="44"/>
      <c r="AC21" s="45"/>
      <c r="AD21" s="45"/>
      <c r="AE21" s="45"/>
      <c r="AF21" s="45"/>
      <c r="AG21" s="44"/>
      <c r="AH21" s="45"/>
      <c r="AI21" s="45"/>
      <c r="AJ21" s="45"/>
      <c r="AK21" s="45"/>
      <c r="AL21" s="44"/>
      <c r="AM21" s="45"/>
      <c r="AN21" s="45"/>
      <c r="AO21" s="45"/>
      <c r="AP21" s="45"/>
      <c r="AQ21" s="44"/>
      <c r="AR21" s="45"/>
      <c r="AS21" s="45"/>
      <c r="AT21" s="45"/>
      <c r="AU21" s="45"/>
      <c r="AV21" s="44"/>
      <c r="AW21" s="45"/>
      <c r="AX21" s="45"/>
      <c r="AY21" s="45"/>
      <c r="AZ21" s="45"/>
      <c r="BA21" s="44"/>
      <c r="BB21" s="45"/>
      <c r="BC21" s="45"/>
      <c r="BD21" s="45"/>
      <c r="BE21" s="45"/>
      <c r="BF21" s="44"/>
      <c r="BG21" s="45"/>
      <c r="BH21" s="45"/>
      <c r="BI21" s="45"/>
      <c r="BJ21" s="45"/>
      <c r="BK21" s="44"/>
      <c r="BL21" s="45"/>
      <c r="BM21" s="45"/>
      <c r="BN21" s="45"/>
      <c r="BO21" s="45"/>
      <c r="BP21" s="44"/>
      <c r="BQ21" s="45"/>
      <c r="BR21" s="45"/>
      <c r="BS21" s="45"/>
      <c r="BT21" s="45"/>
      <c r="BU21" s="44"/>
      <c r="BV21" s="45"/>
      <c r="BW21" s="45"/>
      <c r="BX21" s="45"/>
      <c r="BY21" s="45"/>
      <c r="BZ21" s="44"/>
      <c r="CA21" s="45"/>
      <c r="CB21" s="45"/>
      <c r="CC21" s="45"/>
      <c r="CD21" s="45"/>
      <c r="CE21" s="44"/>
      <c r="CF21" s="45"/>
      <c r="CG21" s="45"/>
      <c r="CH21" s="45"/>
      <c r="CI21" s="45"/>
      <c r="CJ21" s="44"/>
      <c r="CK21" s="45"/>
      <c r="CL21" s="45"/>
      <c r="CM21" s="45"/>
      <c r="CN21" s="45"/>
    </row>
    <row r="22" spans="1:92" ht="15" customHeight="1" x14ac:dyDescent="0.25">
      <c r="A22" s="37" t="str">
        <f>'Kamus WBS'!A18</f>
        <v>3.4</v>
      </c>
      <c r="B22" s="38" t="str">
        <f>'Kamus WBS'!B18</f>
        <v>Dokumen Bagian II &amp; presentasi</v>
      </c>
      <c r="C22" s="39" t="str">
        <f>'Kamus WBS'!D18</f>
        <v>Tech. Writer</v>
      </c>
      <c r="D22" s="46">
        <f>'Kamus WBS'!E18</f>
        <v>2</v>
      </c>
      <c r="E22" s="41" t="s">
        <v>46</v>
      </c>
      <c r="F22" s="40">
        <f>IF(OR(E22="",E22="—"),1,INDEX($G$10:$G$45,MATCH(E22,$A$10:$A$45,0))+1)</f>
        <v>19</v>
      </c>
      <c r="G22" s="40">
        <f>F22+D22-1</f>
        <v>20</v>
      </c>
      <c r="H22" s="42" t="str">
        <f>IFERROR(INDEX(#REF!,MATCH(F22,#REF!,0)),"—")</f>
        <v>—</v>
      </c>
      <c r="I22" s="42" t="str">
        <f>IFERROR(INDEX(#REF!,MATCH(G22,#REF!,0)),"—")</f>
        <v>—</v>
      </c>
      <c r="J22" s="40" t="str">
        <f>IFERROR(INDEX(#REF!,MATCH(F22,#REF!,0)),"—")</f>
        <v>—</v>
      </c>
      <c r="K22" s="40" t="str">
        <f>IFERROR(INDEX(#REF!,MATCH(G22,#REF!,0)),"—")</f>
        <v>—</v>
      </c>
      <c r="L22" s="43" t="s">
        <v>166</v>
      </c>
      <c r="M22" s="44"/>
      <c r="N22" s="45"/>
      <c r="O22" s="45"/>
      <c r="P22" s="45"/>
      <c r="Q22" s="45"/>
      <c r="R22" s="44"/>
      <c r="S22" s="45"/>
      <c r="T22" s="45"/>
      <c r="U22" s="45"/>
      <c r="V22" s="45"/>
      <c r="W22" s="44"/>
      <c r="X22" s="45"/>
      <c r="Y22" s="45"/>
      <c r="Z22" s="45"/>
      <c r="AA22" s="45"/>
      <c r="AB22" s="44"/>
      <c r="AC22" s="45"/>
      <c r="AD22" s="45"/>
      <c r="AE22" s="45"/>
      <c r="AF22" s="45"/>
      <c r="AG22" s="44"/>
      <c r="AH22" s="45"/>
      <c r="AI22" s="45"/>
      <c r="AJ22" s="45"/>
      <c r="AK22" s="45"/>
      <c r="AL22" s="44"/>
      <c r="AM22" s="45"/>
      <c r="AN22" s="45"/>
      <c r="AO22" s="45"/>
      <c r="AP22" s="45"/>
      <c r="AQ22" s="44"/>
      <c r="AR22" s="45"/>
      <c r="AS22" s="45"/>
      <c r="AT22" s="45"/>
      <c r="AU22" s="45"/>
      <c r="AV22" s="44"/>
      <c r="AW22" s="45"/>
      <c r="AX22" s="45"/>
      <c r="AY22" s="45"/>
      <c r="AZ22" s="45"/>
      <c r="BA22" s="44"/>
      <c r="BB22" s="45"/>
      <c r="BC22" s="45"/>
      <c r="BD22" s="45"/>
      <c r="BE22" s="45"/>
      <c r="BF22" s="44"/>
      <c r="BG22" s="45"/>
      <c r="BH22" s="45"/>
      <c r="BI22" s="45"/>
      <c r="BJ22" s="45"/>
      <c r="BK22" s="44"/>
      <c r="BL22" s="45"/>
      <c r="BM22" s="45"/>
      <c r="BN22" s="45"/>
      <c r="BO22" s="45"/>
      <c r="BP22" s="44"/>
      <c r="BQ22" s="45"/>
      <c r="BR22" s="45"/>
      <c r="BS22" s="45"/>
      <c r="BT22" s="45"/>
      <c r="BU22" s="44"/>
      <c r="BV22" s="45"/>
      <c r="BW22" s="45"/>
      <c r="BX22" s="45"/>
      <c r="BY22" s="45"/>
      <c r="BZ22" s="44"/>
      <c r="CA22" s="45"/>
      <c r="CB22" s="45"/>
      <c r="CC22" s="45"/>
      <c r="CD22" s="45"/>
      <c r="CE22" s="44"/>
      <c r="CF22" s="45"/>
      <c r="CG22" s="45"/>
      <c r="CH22" s="45"/>
      <c r="CI22" s="45"/>
      <c r="CJ22" s="44"/>
      <c r="CK22" s="45"/>
      <c r="CL22" s="45"/>
      <c r="CM22" s="45"/>
      <c r="CN22" s="45"/>
    </row>
    <row r="23" spans="1:92" ht="15" customHeight="1" x14ac:dyDescent="0.25">
      <c r="A23" s="29" t="str">
        <f>'Kamus WBS'!A19</f>
        <v>4</v>
      </c>
      <c r="B23" s="30" t="str">
        <f>'Kamus WBS'!B19</f>
        <v>Analisis Kebutuhan</v>
      </c>
      <c r="C23" s="31" t="str">
        <f>'Kamus WBS'!D19</f>
        <v>SA</v>
      </c>
      <c r="D23" s="32">
        <f>G23-F23+1</f>
        <v>10</v>
      </c>
      <c r="E23" s="32" t="s">
        <v>37</v>
      </c>
      <c r="F23" s="32">
        <f>MIN(F24:F27)</f>
        <v>21</v>
      </c>
      <c r="G23" s="32">
        <f>MAX(G24:G27)</f>
        <v>30</v>
      </c>
      <c r="H23" s="33" t="str">
        <f>IFERROR(INDEX(#REF!,MATCH(F23,#REF!,0)),"—")</f>
        <v>—</v>
      </c>
      <c r="I23" s="33" t="str">
        <f>IFERROR(INDEX(#REF!,MATCH(G23,#REF!,0)),"—")</f>
        <v>—</v>
      </c>
      <c r="J23" s="32" t="str">
        <f>IFERROR(INDEX(#REF!,MATCH(F23,#REF!,0)),"—")</f>
        <v>—</v>
      </c>
      <c r="K23" s="32" t="str">
        <f>IFERROR(INDEX(#REF!,MATCH(G23,#REF!,0)),"—")</f>
        <v>—</v>
      </c>
      <c r="L23" s="34" t="str">
        <f>IF(COUNTIF(L24:L27,"✓ Selesai")=ROWS(L24:L27),"✓ Selesai",IF(COUNTIF(L24:L27,"Terlambat")&gt;0,"Terlambat",IF(COUNTIF(L24:L27,"Revisi")&gt;0,"Revisi","Belum")))</f>
        <v>Belum</v>
      </c>
      <c r="M23" s="35"/>
      <c r="N23" s="36"/>
      <c r="O23" s="36"/>
      <c r="P23" s="36"/>
      <c r="Q23" s="36"/>
      <c r="R23" s="35"/>
      <c r="S23" s="36"/>
      <c r="T23" s="36"/>
      <c r="U23" s="36"/>
      <c r="V23" s="36"/>
      <c r="W23" s="35"/>
      <c r="X23" s="36"/>
      <c r="Y23" s="36"/>
      <c r="Z23" s="36"/>
      <c r="AA23" s="36"/>
      <c r="AB23" s="35"/>
      <c r="AC23" s="36"/>
      <c r="AD23" s="36"/>
      <c r="AE23" s="36"/>
      <c r="AF23" s="36"/>
      <c r="AG23" s="35"/>
      <c r="AH23" s="36"/>
      <c r="AI23" s="36"/>
      <c r="AJ23" s="36"/>
      <c r="AK23" s="36"/>
      <c r="AL23" s="35"/>
      <c r="AM23" s="36"/>
      <c r="AN23" s="36"/>
      <c r="AO23" s="36"/>
      <c r="AP23" s="36"/>
      <c r="AQ23" s="35"/>
      <c r="AR23" s="36"/>
      <c r="AS23" s="36"/>
      <c r="AT23" s="36"/>
      <c r="AU23" s="36"/>
      <c r="AV23" s="35"/>
      <c r="AW23" s="36"/>
      <c r="AX23" s="36"/>
      <c r="AY23" s="36"/>
      <c r="AZ23" s="36"/>
      <c r="BA23" s="35"/>
      <c r="BB23" s="36"/>
      <c r="BC23" s="36"/>
      <c r="BD23" s="36"/>
      <c r="BE23" s="36"/>
      <c r="BF23" s="35"/>
      <c r="BG23" s="36"/>
      <c r="BH23" s="36"/>
      <c r="BI23" s="36"/>
      <c r="BJ23" s="36"/>
      <c r="BK23" s="35"/>
      <c r="BL23" s="36"/>
      <c r="BM23" s="36"/>
      <c r="BN23" s="36"/>
      <c r="BO23" s="36"/>
      <c r="BP23" s="35"/>
      <c r="BQ23" s="36"/>
      <c r="BR23" s="36"/>
      <c r="BS23" s="36"/>
      <c r="BT23" s="36"/>
      <c r="BU23" s="35"/>
      <c r="BV23" s="36"/>
      <c r="BW23" s="36"/>
      <c r="BX23" s="36"/>
      <c r="BY23" s="36"/>
      <c r="BZ23" s="35"/>
      <c r="CA23" s="36"/>
      <c r="CB23" s="36"/>
      <c r="CC23" s="36"/>
      <c r="CD23" s="36"/>
      <c r="CE23" s="35"/>
      <c r="CF23" s="36"/>
      <c r="CG23" s="36"/>
      <c r="CH23" s="36"/>
      <c r="CI23" s="36"/>
      <c r="CJ23" s="35"/>
      <c r="CK23" s="36"/>
      <c r="CL23" s="36"/>
      <c r="CM23" s="36"/>
      <c r="CN23" s="36"/>
    </row>
    <row r="24" spans="1:92" ht="15" customHeight="1" x14ac:dyDescent="0.25">
      <c r="A24" s="37" t="str">
        <f>'Kamus WBS'!A20</f>
        <v>4.1</v>
      </c>
      <c r="B24" s="38" t="str">
        <f>'Kamus WBS'!B20</f>
        <v>Wawancara &amp; observasi lanjutan</v>
      </c>
      <c r="C24" s="39" t="str">
        <f>'Kamus WBS'!D20</f>
        <v>SA</v>
      </c>
      <c r="D24" s="46">
        <f>'Kamus WBS'!E20</f>
        <v>2</v>
      </c>
      <c r="E24" s="41" t="s">
        <v>49</v>
      </c>
      <c r="F24" s="40">
        <f>IF(OR(E24="",E24="—"),1,INDEX($G$10:$G$45,MATCH(E24,$A$10:$A$45,0))+1)</f>
        <v>21</v>
      </c>
      <c r="G24" s="40">
        <f>F24+D24-1</f>
        <v>22</v>
      </c>
      <c r="H24" s="42" t="str">
        <f>IFERROR(INDEX(#REF!,MATCH(F24,#REF!,0)),"—")</f>
        <v>—</v>
      </c>
      <c r="I24" s="42" t="str">
        <f>IFERROR(INDEX(#REF!,MATCH(G24,#REF!,0)),"—")</f>
        <v>—</v>
      </c>
      <c r="J24" s="40" t="str">
        <f>IFERROR(INDEX(#REF!,MATCH(F24,#REF!,0)),"—")</f>
        <v>—</v>
      </c>
      <c r="K24" s="40" t="str">
        <f>IFERROR(INDEX(#REF!,MATCH(G24,#REF!,0)),"—")</f>
        <v>—</v>
      </c>
      <c r="L24" s="43" t="s">
        <v>166</v>
      </c>
      <c r="M24" s="44"/>
      <c r="N24" s="45"/>
      <c r="O24" s="45"/>
      <c r="P24" s="45"/>
      <c r="Q24" s="45"/>
      <c r="R24" s="44"/>
      <c r="S24" s="45"/>
      <c r="T24" s="45"/>
      <c r="U24" s="45"/>
      <c r="V24" s="45"/>
      <c r="W24" s="44"/>
      <c r="X24" s="45"/>
      <c r="Y24" s="45"/>
      <c r="Z24" s="45"/>
      <c r="AA24" s="45"/>
      <c r="AB24" s="44"/>
      <c r="AC24" s="45"/>
      <c r="AD24" s="45"/>
      <c r="AE24" s="45"/>
      <c r="AF24" s="45"/>
      <c r="AG24" s="44"/>
      <c r="AH24" s="45"/>
      <c r="AI24" s="45"/>
      <c r="AJ24" s="45"/>
      <c r="AK24" s="45"/>
      <c r="AL24" s="44"/>
      <c r="AM24" s="45"/>
      <c r="AN24" s="45"/>
      <c r="AO24" s="45"/>
      <c r="AP24" s="45"/>
      <c r="AQ24" s="44"/>
      <c r="AR24" s="45"/>
      <c r="AS24" s="45"/>
      <c r="AT24" s="45"/>
      <c r="AU24" s="45"/>
      <c r="AV24" s="44"/>
      <c r="AW24" s="45"/>
      <c r="AX24" s="45"/>
      <c r="AY24" s="45"/>
      <c r="AZ24" s="45"/>
      <c r="BA24" s="44"/>
      <c r="BB24" s="45"/>
      <c r="BC24" s="45"/>
      <c r="BD24" s="45"/>
      <c r="BE24" s="45"/>
      <c r="BF24" s="44"/>
      <c r="BG24" s="45"/>
      <c r="BH24" s="45"/>
      <c r="BI24" s="45"/>
      <c r="BJ24" s="45"/>
      <c r="BK24" s="44"/>
      <c r="BL24" s="45"/>
      <c r="BM24" s="45"/>
      <c r="BN24" s="45"/>
      <c r="BO24" s="45"/>
      <c r="BP24" s="44"/>
      <c r="BQ24" s="45"/>
      <c r="BR24" s="45"/>
      <c r="BS24" s="45"/>
      <c r="BT24" s="45"/>
      <c r="BU24" s="44"/>
      <c r="BV24" s="45"/>
      <c r="BW24" s="45"/>
      <c r="BX24" s="45"/>
      <c r="BY24" s="45"/>
      <c r="BZ24" s="44"/>
      <c r="CA24" s="45"/>
      <c r="CB24" s="45"/>
      <c r="CC24" s="45"/>
      <c r="CD24" s="45"/>
      <c r="CE24" s="44"/>
      <c r="CF24" s="45"/>
      <c r="CG24" s="45"/>
      <c r="CH24" s="45"/>
      <c r="CI24" s="45"/>
      <c r="CJ24" s="44"/>
      <c r="CK24" s="45"/>
      <c r="CL24" s="45"/>
      <c r="CM24" s="45"/>
      <c r="CN24" s="45"/>
    </row>
    <row r="25" spans="1:92" ht="15" customHeight="1" x14ac:dyDescent="0.25">
      <c r="A25" s="37" t="str">
        <f>'Kamus WBS'!A21</f>
        <v>4.2</v>
      </c>
      <c r="B25" s="38" t="str">
        <f>'Kamus WBS'!B21</f>
        <v>Kebutuhan fungsional &amp; non-fungsional</v>
      </c>
      <c r="C25" s="39" t="str">
        <f>'Kamus WBS'!D21</f>
        <v>SA</v>
      </c>
      <c r="D25" s="46">
        <f>'Kamus WBS'!E21</f>
        <v>3</v>
      </c>
      <c r="E25" s="41" t="s">
        <v>56</v>
      </c>
      <c r="F25" s="40">
        <f>IF(OR(E25="",E25="—"),1,INDEX($G$10:$G$45,MATCH(E25,$A$10:$A$45,0))+1)</f>
        <v>23</v>
      </c>
      <c r="G25" s="40">
        <f>F25+D25-1</f>
        <v>25</v>
      </c>
      <c r="H25" s="42" t="str">
        <f>IFERROR(INDEX(#REF!,MATCH(F25,#REF!,0)),"—")</f>
        <v>—</v>
      </c>
      <c r="I25" s="42" t="str">
        <f>IFERROR(INDEX(#REF!,MATCH(G25,#REF!,0)),"—")</f>
        <v>—</v>
      </c>
      <c r="J25" s="40" t="str">
        <f>IFERROR(INDEX(#REF!,MATCH(F25,#REF!,0)),"—")</f>
        <v>—</v>
      </c>
      <c r="K25" s="40" t="str">
        <f>IFERROR(INDEX(#REF!,MATCH(G25,#REF!,0)),"—")</f>
        <v>—</v>
      </c>
      <c r="L25" s="43" t="s">
        <v>166</v>
      </c>
      <c r="M25" s="44"/>
      <c r="N25" s="45"/>
      <c r="O25" s="45"/>
      <c r="P25" s="45"/>
      <c r="Q25" s="45"/>
      <c r="R25" s="44"/>
      <c r="S25" s="45"/>
      <c r="T25" s="45"/>
      <c r="U25" s="45"/>
      <c r="V25" s="45"/>
      <c r="W25" s="44"/>
      <c r="X25" s="45"/>
      <c r="Y25" s="45"/>
      <c r="Z25" s="45"/>
      <c r="AA25" s="45"/>
      <c r="AB25" s="44"/>
      <c r="AC25" s="45"/>
      <c r="AD25" s="45"/>
      <c r="AE25" s="45"/>
      <c r="AF25" s="45"/>
      <c r="AG25" s="44"/>
      <c r="AH25" s="45"/>
      <c r="AI25" s="45"/>
      <c r="AJ25" s="45"/>
      <c r="AK25" s="45"/>
      <c r="AL25" s="44"/>
      <c r="AM25" s="45"/>
      <c r="AN25" s="45"/>
      <c r="AO25" s="45"/>
      <c r="AP25" s="45"/>
      <c r="AQ25" s="44"/>
      <c r="AR25" s="45"/>
      <c r="AS25" s="45"/>
      <c r="AT25" s="45"/>
      <c r="AU25" s="45"/>
      <c r="AV25" s="44"/>
      <c r="AW25" s="45"/>
      <c r="AX25" s="45"/>
      <c r="AY25" s="45"/>
      <c r="AZ25" s="45"/>
      <c r="BA25" s="44"/>
      <c r="BB25" s="45"/>
      <c r="BC25" s="45"/>
      <c r="BD25" s="45"/>
      <c r="BE25" s="45"/>
      <c r="BF25" s="44"/>
      <c r="BG25" s="45"/>
      <c r="BH25" s="45"/>
      <c r="BI25" s="45"/>
      <c r="BJ25" s="45"/>
      <c r="BK25" s="44"/>
      <c r="BL25" s="45"/>
      <c r="BM25" s="45"/>
      <c r="BN25" s="45"/>
      <c r="BO25" s="45"/>
      <c r="BP25" s="44"/>
      <c r="BQ25" s="45"/>
      <c r="BR25" s="45"/>
      <c r="BS25" s="45"/>
      <c r="BT25" s="45"/>
      <c r="BU25" s="44"/>
      <c r="BV25" s="45"/>
      <c r="BW25" s="45"/>
      <c r="BX25" s="45"/>
      <c r="BY25" s="45"/>
      <c r="BZ25" s="44"/>
      <c r="CA25" s="45"/>
      <c r="CB25" s="45"/>
      <c r="CC25" s="45"/>
      <c r="CD25" s="45"/>
      <c r="CE25" s="44"/>
      <c r="CF25" s="45"/>
      <c r="CG25" s="45"/>
      <c r="CH25" s="45"/>
      <c r="CI25" s="45"/>
      <c r="CJ25" s="44"/>
      <c r="CK25" s="45"/>
      <c r="CL25" s="45"/>
      <c r="CM25" s="45"/>
      <c r="CN25" s="45"/>
    </row>
    <row r="26" spans="1:92" ht="15" customHeight="1" x14ac:dyDescent="0.25">
      <c r="A26" s="37" t="str">
        <f>'Kamus WBS'!A22</f>
        <v>4.3</v>
      </c>
      <c r="B26" s="38" t="str">
        <f>'Kamus WBS'!B22</f>
        <v>Prioritas MoSCoW &amp; use case</v>
      </c>
      <c r="C26" s="39" t="str">
        <f>'Kamus WBS'!D22</f>
        <v>SA</v>
      </c>
      <c r="D26" s="46">
        <f>'Kamus WBS'!E22</f>
        <v>3</v>
      </c>
      <c r="E26" s="41" t="s">
        <v>59</v>
      </c>
      <c r="F26" s="40">
        <f>IF(OR(E26="",E26="—"),1,INDEX($G$10:$G$45,MATCH(E26,$A$10:$A$45,0))+1)</f>
        <v>26</v>
      </c>
      <c r="G26" s="40">
        <f>F26+D26-1</f>
        <v>28</v>
      </c>
      <c r="H26" s="42" t="str">
        <f>IFERROR(INDEX(#REF!,MATCH(F26,#REF!,0)),"—")</f>
        <v>—</v>
      </c>
      <c r="I26" s="42" t="str">
        <f>IFERROR(INDEX(#REF!,MATCH(G26,#REF!,0)),"—")</f>
        <v>—</v>
      </c>
      <c r="J26" s="40" t="str">
        <f>IFERROR(INDEX(#REF!,MATCH(F26,#REF!,0)),"—")</f>
        <v>—</v>
      </c>
      <c r="K26" s="40" t="str">
        <f>IFERROR(INDEX(#REF!,MATCH(G26,#REF!,0)),"—")</f>
        <v>—</v>
      </c>
      <c r="L26" s="43" t="s">
        <v>149</v>
      </c>
      <c r="M26" s="44"/>
      <c r="N26" s="45"/>
      <c r="O26" s="45"/>
      <c r="P26" s="45"/>
      <c r="Q26" s="45"/>
      <c r="R26" s="44"/>
      <c r="S26" s="45"/>
      <c r="T26" s="45"/>
      <c r="U26" s="45"/>
      <c r="V26" s="45"/>
      <c r="W26" s="44"/>
      <c r="X26" s="45"/>
      <c r="Y26" s="45"/>
      <c r="Z26" s="45"/>
      <c r="AA26" s="45"/>
      <c r="AB26" s="44"/>
      <c r="AC26" s="45"/>
      <c r="AD26" s="45"/>
      <c r="AE26" s="45"/>
      <c r="AF26" s="45"/>
      <c r="AG26" s="44"/>
      <c r="AH26" s="45"/>
      <c r="AI26" s="45"/>
      <c r="AJ26" s="45"/>
      <c r="AK26" s="45"/>
      <c r="AL26" s="44"/>
      <c r="AM26" s="45"/>
      <c r="AN26" s="45"/>
      <c r="AO26" s="45"/>
      <c r="AP26" s="45"/>
      <c r="AQ26" s="44"/>
      <c r="AR26" s="45"/>
      <c r="AS26" s="45"/>
      <c r="AT26" s="45"/>
      <c r="AU26" s="45"/>
      <c r="AV26" s="44"/>
      <c r="AW26" s="45"/>
      <c r="AX26" s="45"/>
      <c r="AY26" s="45"/>
      <c r="AZ26" s="45"/>
      <c r="BA26" s="44"/>
      <c r="BB26" s="45"/>
      <c r="BC26" s="45"/>
      <c r="BD26" s="45"/>
      <c r="BE26" s="45"/>
      <c r="BF26" s="44"/>
      <c r="BG26" s="45"/>
      <c r="BH26" s="45"/>
      <c r="BI26" s="45"/>
      <c r="BJ26" s="45"/>
      <c r="BK26" s="44"/>
      <c r="BL26" s="45"/>
      <c r="BM26" s="45"/>
      <c r="BN26" s="45"/>
      <c r="BO26" s="45"/>
      <c r="BP26" s="44"/>
      <c r="BQ26" s="45"/>
      <c r="BR26" s="45"/>
      <c r="BS26" s="45"/>
      <c r="BT26" s="45"/>
      <c r="BU26" s="44"/>
      <c r="BV26" s="45"/>
      <c r="BW26" s="45"/>
      <c r="BX26" s="45"/>
      <c r="BY26" s="45"/>
      <c r="BZ26" s="44"/>
      <c r="CA26" s="45"/>
      <c r="CB26" s="45"/>
      <c r="CC26" s="45"/>
      <c r="CD26" s="45"/>
      <c r="CE26" s="44"/>
      <c r="CF26" s="45"/>
      <c r="CG26" s="45"/>
      <c r="CH26" s="45"/>
      <c r="CI26" s="45"/>
      <c r="CJ26" s="44"/>
      <c r="CK26" s="45"/>
      <c r="CL26" s="45"/>
      <c r="CM26" s="45"/>
      <c r="CN26" s="45"/>
    </row>
    <row r="27" spans="1:92" ht="15" customHeight="1" x14ac:dyDescent="0.25">
      <c r="A27" s="37" t="str">
        <f>'Kamus WBS'!A23</f>
        <v>4.4</v>
      </c>
      <c r="B27" s="38" t="str">
        <f>'Kamus WBS'!B23</f>
        <v>Penyusunan &amp; review SRS</v>
      </c>
      <c r="C27" s="39" t="str">
        <f>'Kamus WBS'!D23</f>
        <v>Tech. Writer</v>
      </c>
      <c r="D27" s="46">
        <f>'Kamus WBS'!E23</f>
        <v>2</v>
      </c>
      <c r="E27" s="41" t="s">
        <v>62</v>
      </c>
      <c r="F27" s="40">
        <f>IF(OR(E27="",E27="—"),1,INDEX($G$10:$G$45,MATCH(E27,$A$10:$A$45,0))+1)</f>
        <v>29</v>
      </c>
      <c r="G27" s="40">
        <f>F27+D27-1</f>
        <v>30</v>
      </c>
      <c r="H27" s="42" t="str">
        <f>IFERROR(INDEX(#REF!,MATCH(F27,#REF!,0)),"—")</f>
        <v>—</v>
      </c>
      <c r="I27" s="42" t="str">
        <f>IFERROR(INDEX(#REF!,MATCH(G27,#REF!,0)),"—")</f>
        <v>—</v>
      </c>
      <c r="J27" s="40" t="str">
        <f>IFERROR(INDEX(#REF!,MATCH(F27,#REF!,0)),"—")</f>
        <v>—</v>
      </c>
      <c r="K27" s="40" t="str">
        <f>IFERROR(INDEX(#REF!,MATCH(G27,#REF!,0)),"—")</f>
        <v>—</v>
      </c>
      <c r="L27" s="43" t="s">
        <v>149</v>
      </c>
      <c r="M27" s="44"/>
      <c r="N27" s="45"/>
      <c r="O27" s="45"/>
      <c r="P27" s="45"/>
      <c r="Q27" s="45"/>
      <c r="R27" s="44"/>
      <c r="S27" s="45"/>
      <c r="T27" s="45"/>
      <c r="U27" s="45"/>
      <c r="V27" s="45"/>
      <c r="W27" s="44"/>
      <c r="X27" s="45"/>
      <c r="Y27" s="45"/>
      <c r="Z27" s="45"/>
      <c r="AA27" s="45"/>
      <c r="AB27" s="44"/>
      <c r="AC27" s="45"/>
      <c r="AD27" s="45"/>
      <c r="AE27" s="45"/>
      <c r="AF27" s="45"/>
      <c r="AG27" s="44"/>
      <c r="AH27" s="45"/>
      <c r="AI27" s="45"/>
      <c r="AJ27" s="45"/>
      <c r="AK27" s="45"/>
      <c r="AL27" s="44"/>
      <c r="AM27" s="45"/>
      <c r="AN27" s="45"/>
      <c r="AO27" s="45"/>
      <c r="AP27" s="45"/>
      <c r="AQ27" s="44"/>
      <c r="AR27" s="45"/>
      <c r="AS27" s="45"/>
      <c r="AT27" s="45"/>
      <c r="AU27" s="45"/>
      <c r="AV27" s="44"/>
      <c r="AW27" s="45"/>
      <c r="AX27" s="45"/>
      <c r="AY27" s="45"/>
      <c r="AZ27" s="45"/>
      <c r="BA27" s="44"/>
      <c r="BB27" s="45"/>
      <c r="BC27" s="45"/>
      <c r="BD27" s="45"/>
      <c r="BE27" s="45"/>
      <c r="BF27" s="44"/>
      <c r="BG27" s="45"/>
      <c r="BH27" s="45"/>
      <c r="BI27" s="45"/>
      <c r="BJ27" s="45"/>
      <c r="BK27" s="44"/>
      <c r="BL27" s="45"/>
      <c r="BM27" s="45"/>
      <c r="BN27" s="45"/>
      <c r="BO27" s="45"/>
      <c r="BP27" s="44"/>
      <c r="BQ27" s="45"/>
      <c r="BR27" s="45"/>
      <c r="BS27" s="45"/>
      <c r="BT27" s="45"/>
      <c r="BU27" s="44"/>
      <c r="BV27" s="45"/>
      <c r="BW27" s="45"/>
      <c r="BX27" s="45"/>
      <c r="BY27" s="45"/>
      <c r="BZ27" s="44"/>
      <c r="CA27" s="45"/>
      <c r="CB27" s="45"/>
      <c r="CC27" s="45"/>
      <c r="CD27" s="45"/>
      <c r="CE27" s="44"/>
      <c r="CF27" s="45"/>
      <c r="CG27" s="45"/>
      <c r="CH27" s="45"/>
      <c r="CI27" s="45"/>
      <c r="CJ27" s="44"/>
      <c r="CK27" s="45"/>
      <c r="CL27" s="45"/>
      <c r="CM27" s="45"/>
      <c r="CN27" s="45"/>
    </row>
    <row r="28" spans="1:92" ht="15" customHeight="1" x14ac:dyDescent="0.25">
      <c r="A28" s="29" t="str">
        <f>'Kamus WBS'!A24</f>
        <v>5</v>
      </c>
      <c r="B28" s="30" t="str">
        <f>'Kamus WBS'!B24</f>
        <v>Desain Sistem</v>
      </c>
      <c r="C28" s="31" t="str">
        <f>'Kamus WBS'!D24</f>
        <v>SD</v>
      </c>
      <c r="D28" s="32">
        <f>G28-F28+1</f>
        <v>10</v>
      </c>
      <c r="E28" s="32" t="s">
        <v>53</v>
      </c>
      <c r="F28" s="32">
        <f>MIN(F29:F32)</f>
        <v>31</v>
      </c>
      <c r="G28" s="32">
        <f>MAX(G29:G32)</f>
        <v>40</v>
      </c>
      <c r="H28" s="33" t="str">
        <f>IFERROR(INDEX(#REF!,MATCH(F28,#REF!,0)),"—")</f>
        <v>—</v>
      </c>
      <c r="I28" s="33" t="str">
        <f>IFERROR(INDEX(#REF!,MATCH(G28,#REF!,0)),"—")</f>
        <v>—</v>
      </c>
      <c r="J28" s="32" t="str">
        <f>IFERROR(INDEX(#REF!,MATCH(F28,#REF!,0)),"—")</f>
        <v>—</v>
      </c>
      <c r="K28" s="32" t="str">
        <f>IFERROR(INDEX(#REF!,MATCH(G28,#REF!,0)),"—")</f>
        <v>—</v>
      </c>
      <c r="L28" s="34" t="str">
        <f>IF(COUNTIF(L29:L32,"✓ Selesai")=ROWS(L29:L32),"✓ Selesai",IF(COUNTIF(L29:L32,"Terlambat")&gt;0,"Terlambat",IF(COUNTIF(L29:L32,"Revisi")&gt;0,"Revisi","Belum")))</f>
        <v>Belum</v>
      </c>
      <c r="M28" s="35"/>
      <c r="N28" s="36"/>
      <c r="O28" s="36"/>
      <c r="P28" s="36"/>
      <c r="Q28" s="36"/>
      <c r="R28" s="35"/>
      <c r="S28" s="36"/>
      <c r="T28" s="36"/>
      <c r="U28" s="36"/>
      <c r="V28" s="36"/>
      <c r="W28" s="35"/>
      <c r="X28" s="36"/>
      <c r="Y28" s="36"/>
      <c r="Z28" s="36"/>
      <c r="AA28" s="36"/>
      <c r="AB28" s="35"/>
      <c r="AC28" s="36"/>
      <c r="AD28" s="36"/>
      <c r="AE28" s="36"/>
      <c r="AF28" s="36"/>
      <c r="AG28" s="35"/>
      <c r="AH28" s="36"/>
      <c r="AI28" s="36"/>
      <c r="AJ28" s="36"/>
      <c r="AK28" s="36"/>
      <c r="AL28" s="35"/>
      <c r="AM28" s="36"/>
      <c r="AN28" s="36"/>
      <c r="AO28" s="36"/>
      <c r="AP28" s="36"/>
      <c r="AQ28" s="35"/>
      <c r="AR28" s="36"/>
      <c r="AS28" s="36"/>
      <c r="AT28" s="36"/>
      <c r="AU28" s="36"/>
      <c r="AV28" s="35"/>
      <c r="AW28" s="36"/>
      <c r="AX28" s="36"/>
      <c r="AY28" s="36"/>
      <c r="AZ28" s="36"/>
      <c r="BA28" s="35"/>
      <c r="BB28" s="36"/>
      <c r="BC28" s="36"/>
      <c r="BD28" s="36"/>
      <c r="BE28" s="36"/>
      <c r="BF28" s="35"/>
      <c r="BG28" s="36"/>
      <c r="BH28" s="36"/>
      <c r="BI28" s="36"/>
      <c r="BJ28" s="36"/>
      <c r="BK28" s="35"/>
      <c r="BL28" s="36"/>
      <c r="BM28" s="36"/>
      <c r="BN28" s="36"/>
      <c r="BO28" s="36"/>
      <c r="BP28" s="35"/>
      <c r="BQ28" s="36"/>
      <c r="BR28" s="36"/>
      <c r="BS28" s="36"/>
      <c r="BT28" s="36"/>
      <c r="BU28" s="35"/>
      <c r="BV28" s="36"/>
      <c r="BW28" s="36"/>
      <c r="BX28" s="36"/>
      <c r="BY28" s="36"/>
      <c r="BZ28" s="35"/>
      <c r="CA28" s="36"/>
      <c r="CB28" s="36"/>
      <c r="CC28" s="36"/>
      <c r="CD28" s="36"/>
      <c r="CE28" s="35"/>
      <c r="CF28" s="36"/>
      <c r="CG28" s="36"/>
      <c r="CH28" s="36"/>
      <c r="CI28" s="36"/>
      <c r="CJ28" s="35"/>
      <c r="CK28" s="36"/>
      <c r="CL28" s="36"/>
      <c r="CM28" s="36"/>
      <c r="CN28" s="36"/>
    </row>
    <row r="29" spans="1:92" ht="15" customHeight="1" x14ac:dyDescent="0.25">
      <c r="A29" s="37" t="str">
        <f>'Kamus WBS'!A25</f>
        <v>5.1</v>
      </c>
      <c r="B29" s="38" t="str">
        <f>'Kamus WBS'!B25</f>
        <v>Perancangan basis data (ERD)</v>
      </c>
      <c r="C29" s="39" t="str">
        <f>'Kamus WBS'!D25</f>
        <v>SD</v>
      </c>
      <c r="D29" s="46">
        <f>'Kamus WBS'!E25</f>
        <v>3</v>
      </c>
      <c r="E29" s="41" t="s">
        <v>65</v>
      </c>
      <c r="F29" s="40">
        <f>IF(OR(E29="",E29="—"),1,INDEX($G$10:$G$45,MATCH(E29,$A$10:$A$45,0))+1)</f>
        <v>31</v>
      </c>
      <c r="G29" s="40">
        <f>F29+D29-1</f>
        <v>33</v>
      </c>
      <c r="H29" s="42" t="str">
        <f>IFERROR(INDEX(#REF!,MATCH(F29,#REF!,0)),"—")</f>
        <v>—</v>
      </c>
      <c r="I29" s="42" t="str">
        <f>IFERROR(INDEX(#REF!,MATCH(G29,#REF!,0)),"—")</f>
        <v>—</v>
      </c>
      <c r="J29" s="40" t="str">
        <f>IFERROR(INDEX(#REF!,MATCH(F29,#REF!,0)),"—")</f>
        <v>—</v>
      </c>
      <c r="K29" s="40" t="str">
        <f>IFERROR(INDEX(#REF!,MATCH(G29,#REF!,0)),"—")</f>
        <v>—</v>
      </c>
      <c r="L29" s="43" t="s">
        <v>149</v>
      </c>
      <c r="M29" s="44"/>
      <c r="N29" s="45"/>
      <c r="O29" s="45"/>
      <c r="P29" s="45"/>
      <c r="Q29" s="45"/>
      <c r="R29" s="44"/>
      <c r="S29" s="45"/>
      <c r="T29" s="45"/>
      <c r="U29" s="45"/>
      <c r="V29" s="45"/>
      <c r="W29" s="44"/>
      <c r="X29" s="45"/>
      <c r="Y29" s="45"/>
      <c r="Z29" s="45"/>
      <c r="AA29" s="45"/>
      <c r="AB29" s="44"/>
      <c r="AC29" s="45"/>
      <c r="AD29" s="45"/>
      <c r="AE29" s="45"/>
      <c r="AF29" s="45"/>
      <c r="AG29" s="44"/>
      <c r="AH29" s="45"/>
      <c r="AI29" s="45"/>
      <c r="AJ29" s="45"/>
      <c r="AK29" s="45"/>
      <c r="AL29" s="44"/>
      <c r="AM29" s="45"/>
      <c r="AN29" s="45"/>
      <c r="AO29" s="45"/>
      <c r="AP29" s="45"/>
      <c r="AQ29" s="44"/>
      <c r="AR29" s="45"/>
      <c r="AS29" s="45"/>
      <c r="AT29" s="45"/>
      <c r="AU29" s="45"/>
      <c r="AV29" s="44"/>
      <c r="AW29" s="45"/>
      <c r="AX29" s="45"/>
      <c r="AY29" s="45"/>
      <c r="AZ29" s="45"/>
      <c r="BA29" s="44"/>
      <c r="BB29" s="45"/>
      <c r="BC29" s="45"/>
      <c r="BD29" s="45"/>
      <c r="BE29" s="45"/>
      <c r="BF29" s="44"/>
      <c r="BG29" s="45"/>
      <c r="BH29" s="45"/>
      <c r="BI29" s="45"/>
      <c r="BJ29" s="45"/>
      <c r="BK29" s="44"/>
      <c r="BL29" s="45"/>
      <c r="BM29" s="45"/>
      <c r="BN29" s="45"/>
      <c r="BO29" s="45"/>
      <c r="BP29" s="44"/>
      <c r="BQ29" s="45"/>
      <c r="BR29" s="45"/>
      <c r="BS29" s="45"/>
      <c r="BT29" s="45"/>
      <c r="BU29" s="44"/>
      <c r="BV29" s="45"/>
      <c r="BW29" s="45"/>
      <c r="BX29" s="45"/>
      <c r="BY29" s="45"/>
      <c r="BZ29" s="44"/>
      <c r="CA29" s="45"/>
      <c r="CB29" s="45"/>
      <c r="CC29" s="45"/>
      <c r="CD29" s="45"/>
      <c r="CE29" s="44"/>
      <c r="CF29" s="45"/>
      <c r="CG29" s="45"/>
      <c r="CH29" s="45"/>
      <c r="CI29" s="45"/>
      <c r="CJ29" s="44"/>
      <c r="CK29" s="45"/>
      <c r="CL29" s="45"/>
      <c r="CM29" s="45"/>
      <c r="CN29" s="45"/>
    </row>
    <row r="30" spans="1:92" ht="15" customHeight="1" x14ac:dyDescent="0.25">
      <c r="A30" s="37" t="str">
        <f>'Kamus WBS'!A26</f>
        <v>5.2</v>
      </c>
      <c r="B30" s="38" t="str">
        <f>'Kamus WBS'!B26</f>
        <v>Arsitektur sistem &amp; desain modul</v>
      </c>
      <c r="C30" s="39" t="str">
        <f>'Kamus WBS'!D26</f>
        <v>SD</v>
      </c>
      <c r="D30" s="46">
        <f>'Kamus WBS'!E26</f>
        <v>2</v>
      </c>
      <c r="E30" s="41" t="s">
        <v>72</v>
      </c>
      <c r="F30" s="40">
        <f>IF(OR(E30="",E30="—"),1,INDEX($G$10:$G$45,MATCH(E30,$A$10:$A$45,0))+1)</f>
        <v>34</v>
      </c>
      <c r="G30" s="40">
        <f>F30+D30-1</f>
        <v>35</v>
      </c>
      <c r="H30" s="42" t="str">
        <f>IFERROR(INDEX(#REF!,MATCH(F30,#REF!,0)),"—")</f>
        <v>—</v>
      </c>
      <c r="I30" s="42" t="str">
        <f>IFERROR(INDEX(#REF!,MATCH(G30,#REF!,0)),"—")</f>
        <v>—</v>
      </c>
      <c r="J30" s="40" t="str">
        <f>IFERROR(INDEX(#REF!,MATCH(F30,#REF!,0)),"—")</f>
        <v>—</v>
      </c>
      <c r="K30" s="40" t="str">
        <f>IFERROR(INDEX(#REF!,MATCH(G30,#REF!,0)),"—")</f>
        <v>—</v>
      </c>
      <c r="L30" s="43" t="s">
        <v>149</v>
      </c>
      <c r="M30" s="44"/>
      <c r="N30" s="45"/>
      <c r="O30" s="45"/>
      <c r="P30" s="45"/>
      <c r="Q30" s="45"/>
      <c r="R30" s="44"/>
      <c r="S30" s="45"/>
      <c r="T30" s="45"/>
      <c r="U30" s="45"/>
      <c r="V30" s="45"/>
      <c r="W30" s="44"/>
      <c r="X30" s="45"/>
      <c r="Y30" s="45"/>
      <c r="Z30" s="45"/>
      <c r="AA30" s="45"/>
      <c r="AB30" s="44"/>
      <c r="AC30" s="45"/>
      <c r="AD30" s="45"/>
      <c r="AE30" s="45"/>
      <c r="AF30" s="45"/>
      <c r="AG30" s="44"/>
      <c r="AH30" s="45"/>
      <c r="AI30" s="45"/>
      <c r="AJ30" s="45"/>
      <c r="AK30" s="45"/>
      <c r="AL30" s="44"/>
      <c r="AM30" s="45"/>
      <c r="AN30" s="45"/>
      <c r="AO30" s="45"/>
      <c r="AP30" s="45"/>
      <c r="AQ30" s="44"/>
      <c r="AR30" s="45"/>
      <c r="AS30" s="45"/>
      <c r="AT30" s="45"/>
      <c r="AU30" s="45"/>
      <c r="AV30" s="44"/>
      <c r="AW30" s="45"/>
      <c r="AX30" s="45"/>
      <c r="AY30" s="45"/>
      <c r="AZ30" s="45"/>
      <c r="BA30" s="44"/>
      <c r="BB30" s="45"/>
      <c r="BC30" s="45"/>
      <c r="BD30" s="45"/>
      <c r="BE30" s="45"/>
      <c r="BF30" s="44"/>
      <c r="BG30" s="45"/>
      <c r="BH30" s="45"/>
      <c r="BI30" s="45"/>
      <c r="BJ30" s="45"/>
      <c r="BK30" s="44"/>
      <c r="BL30" s="45"/>
      <c r="BM30" s="45"/>
      <c r="BN30" s="45"/>
      <c r="BO30" s="45"/>
      <c r="BP30" s="44"/>
      <c r="BQ30" s="45"/>
      <c r="BR30" s="45"/>
      <c r="BS30" s="45"/>
      <c r="BT30" s="45"/>
      <c r="BU30" s="44"/>
      <c r="BV30" s="45"/>
      <c r="BW30" s="45"/>
      <c r="BX30" s="45"/>
      <c r="BY30" s="45"/>
      <c r="BZ30" s="44"/>
      <c r="CA30" s="45"/>
      <c r="CB30" s="45"/>
      <c r="CC30" s="45"/>
      <c r="CD30" s="45"/>
      <c r="CE30" s="44"/>
      <c r="CF30" s="45"/>
      <c r="CG30" s="45"/>
      <c r="CH30" s="45"/>
      <c r="CI30" s="45"/>
      <c r="CJ30" s="44"/>
      <c r="CK30" s="45"/>
      <c r="CL30" s="45"/>
      <c r="CM30" s="45"/>
      <c r="CN30" s="45"/>
    </row>
    <row r="31" spans="1:92" ht="15" customHeight="1" x14ac:dyDescent="0.25">
      <c r="A31" s="37" t="str">
        <f>'Kamus WBS'!A27</f>
        <v>5.3</v>
      </c>
      <c r="B31" s="38" t="str">
        <f>'Kamus WBS'!B27</f>
        <v>Desain antarmuka (wireframe)</v>
      </c>
      <c r="C31" s="39" t="str">
        <f>'Kamus WBS'!D27</f>
        <v>SD</v>
      </c>
      <c r="D31" s="46">
        <f>'Kamus WBS'!E27</f>
        <v>3</v>
      </c>
      <c r="E31" s="41" t="s">
        <v>75</v>
      </c>
      <c r="F31" s="40">
        <f>IF(OR(E31="",E31="—"),1,INDEX($G$10:$G$45,MATCH(E31,$A$10:$A$45,0))+1)</f>
        <v>36</v>
      </c>
      <c r="G31" s="40">
        <f>F31+D31-1</f>
        <v>38</v>
      </c>
      <c r="H31" s="42" t="str">
        <f>IFERROR(INDEX(#REF!,MATCH(F31,#REF!,0)),"—")</f>
        <v>—</v>
      </c>
      <c r="I31" s="42" t="str">
        <f>IFERROR(INDEX(#REF!,MATCH(G31,#REF!,0)),"—")</f>
        <v>—</v>
      </c>
      <c r="J31" s="40" t="str">
        <f>IFERROR(INDEX(#REF!,MATCH(F31,#REF!,0)),"—")</f>
        <v>—</v>
      </c>
      <c r="K31" s="40" t="str">
        <f>IFERROR(INDEX(#REF!,MATCH(G31,#REF!,0)),"—")</f>
        <v>—</v>
      </c>
      <c r="L31" s="43" t="s">
        <v>149</v>
      </c>
      <c r="M31" s="44"/>
      <c r="N31" s="45"/>
      <c r="O31" s="45"/>
      <c r="P31" s="45"/>
      <c r="Q31" s="45"/>
      <c r="R31" s="44"/>
      <c r="S31" s="45"/>
      <c r="T31" s="45"/>
      <c r="U31" s="45"/>
      <c r="V31" s="45"/>
      <c r="W31" s="44"/>
      <c r="X31" s="45"/>
      <c r="Y31" s="45"/>
      <c r="Z31" s="45"/>
      <c r="AA31" s="45"/>
      <c r="AB31" s="44"/>
      <c r="AC31" s="45"/>
      <c r="AD31" s="45"/>
      <c r="AE31" s="45"/>
      <c r="AF31" s="45"/>
      <c r="AG31" s="44"/>
      <c r="AH31" s="45"/>
      <c r="AI31" s="45"/>
      <c r="AJ31" s="45"/>
      <c r="AK31" s="45"/>
      <c r="AL31" s="44"/>
      <c r="AM31" s="45"/>
      <c r="AN31" s="45"/>
      <c r="AO31" s="45"/>
      <c r="AP31" s="45"/>
      <c r="AQ31" s="44"/>
      <c r="AR31" s="45"/>
      <c r="AS31" s="45"/>
      <c r="AT31" s="45"/>
      <c r="AU31" s="45"/>
      <c r="AV31" s="44"/>
      <c r="AW31" s="45"/>
      <c r="AX31" s="45"/>
      <c r="AY31" s="45"/>
      <c r="AZ31" s="45"/>
      <c r="BA31" s="44"/>
      <c r="BB31" s="45"/>
      <c r="BC31" s="45"/>
      <c r="BD31" s="45"/>
      <c r="BE31" s="45"/>
      <c r="BF31" s="44"/>
      <c r="BG31" s="45"/>
      <c r="BH31" s="45"/>
      <c r="BI31" s="45"/>
      <c r="BJ31" s="45"/>
      <c r="BK31" s="44"/>
      <c r="BL31" s="45"/>
      <c r="BM31" s="45"/>
      <c r="BN31" s="45"/>
      <c r="BO31" s="45"/>
      <c r="BP31" s="44"/>
      <c r="BQ31" s="45"/>
      <c r="BR31" s="45"/>
      <c r="BS31" s="45"/>
      <c r="BT31" s="45"/>
      <c r="BU31" s="44"/>
      <c r="BV31" s="45"/>
      <c r="BW31" s="45"/>
      <c r="BX31" s="45"/>
      <c r="BY31" s="45"/>
      <c r="BZ31" s="44"/>
      <c r="CA31" s="45"/>
      <c r="CB31" s="45"/>
      <c r="CC31" s="45"/>
      <c r="CD31" s="45"/>
      <c r="CE31" s="44"/>
      <c r="CF31" s="45"/>
      <c r="CG31" s="45"/>
      <c r="CH31" s="45"/>
      <c r="CI31" s="45"/>
      <c r="CJ31" s="44"/>
      <c r="CK31" s="45"/>
      <c r="CL31" s="45"/>
      <c r="CM31" s="45"/>
      <c r="CN31" s="45"/>
    </row>
    <row r="32" spans="1:92" ht="15" customHeight="1" x14ac:dyDescent="0.25">
      <c r="A32" s="37" t="str">
        <f>'Kamus WBS'!A28</f>
        <v>5.4</v>
      </c>
      <c r="B32" s="38" t="str">
        <f>'Kamus WBS'!B28</f>
        <v>Penyusunan SDD</v>
      </c>
      <c r="C32" s="39" t="str">
        <f>'Kamus WBS'!D28</f>
        <v>SD</v>
      </c>
      <c r="D32" s="46">
        <f>'Kamus WBS'!E28</f>
        <v>2</v>
      </c>
      <c r="E32" s="41" t="s">
        <v>78</v>
      </c>
      <c r="F32" s="40">
        <f>IF(OR(E32="",E32="—"),1,INDEX($G$10:$G$45,MATCH(E32,$A$10:$A$45,0))+1)</f>
        <v>39</v>
      </c>
      <c r="G32" s="40">
        <f>F32+D32-1</f>
        <v>40</v>
      </c>
      <c r="H32" s="42" t="str">
        <f>IFERROR(INDEX(#REF!,MATCH(F32,#REF!,0)),"—")</f>
        <v>—</v>
      </c>
      <c r="I32" s="42" t="str">
        <f>IFERROR(INDEX(#REF!,MATCH(G32,#REF!,0)),"—")</f>
        <v>—</v>
      </c>
      <c r="J32" s="40" t="str">
        <f>IFERROR(INDEX(#REF!,MATCH(F32,#REF!,0)),"—")</f>
        <v>—</v>
      </c>
      <c r="K32" s="40" t="str">
        <f>IFERROR(INDEX(#REF!,MATCH(G32,#REF!,0)),"—")</f>
        <v>—</v>
      </c>
      <c r="L32" s="43" t="s">
        <v>149</v>
      </c>
      <c r="M32" s="44"/>
      <c r="N32" s="45"/>
      <c r="O32" s="45"/>
      <c r="P32" s="45"/>
      <c r="Q32" s="45"/>
      <c r="R32" s="44"/>
      <c r="S32" s="45"/>
      <c r="T32" s="45"/>
      <c r="U32" s="45"/>
      <c r="V32" s="45"/>
      <c r="W32" s="44"/>
      <c r="X32" s="45"/>
      <c r="Y32" s="45"/>
      <c r="Z32" s="45"/>
      <c r="AA32" s="45"/>
      <c r="AB32" s="44"/>
      <c r="AC32" s="45"/>
      <c r="AD32" s="45"/>
      <c r="AE32" s="45"/>
      <c r="AF32" s="45"/>
      <c r="AG32" s="44"/>
      <c r="AH32" s="45"/>
      <c r="AI32" s="45"/>
      <c r="AJ32" s="45"/>
      <c r="AK32" s="45"/>
      <c r="AL32" s="44"/>
      <c r="AM32" s="45"/>
      <c r="AN32" s="45"/>
      <c r="AO32" s="45"/>
      <c r="AP32" s="45"/>
      <c r="AQ32" s="44"/>
      <c r="AR32" s="45"/>
      <c r="AS32" s="45"/>
      <c r="AT32" s="45"/>
      <c r="AU32" s="45"/>
      <c r="AV32" s="44"/>
      <c r="AW32" s="45"/>
      <c r="AX32" s="45"/>
      <c r="AY32" s="45"/>
      <c r="AZ32" s="45"/>
      <c r="BA32" s="44"/>
      <c r="BB32" s="45"/>
      <c r="BC32" s="45"/>
      <c r="BD32" s="45"/>
      <c r="BE32" s="45"/>
      <c r="BF32" s="44"/>
      <c r="BG32" s="45"/>
      <c r="BH32" s="45"/>
      <c r="BI32" s="45"/>
      <c r="BJ32" s="45"/>
      <c r="BK32" s="44"/>
      <c r="BL32" s="45"/>
      <c r="BM32" s="45"/>
      <c r="BN32" s="45"/>
      <c r="BO32" s="45"/>
      <c r="BP32" s="44"/>
      <c r="BQ32" s="45"/>
      <c r="BR32" s="45"/>
      <c r="BS32" s="45"/>
      <c r="BT32" s="45"/>
      <c r="BU32" s="44"/>
      <c r="BV32" s="45"/>
      <c r="BW32" s="45"/>
      <c r="BX32" s="45"/>
      <c r="BY32" s="45"/>
      <c r="BZ32" s="44"/>
      <c r="CA32" s="45"/>
      <c r="CB32" s="45"/>
      <c r="CC32" s="45"/>
      <c r="CD32" s="45"/>
      <c r="CE32" s="44"/>
      <c r="CF32" s="45"/>
      <c r="CG32" s="45"/>
      <c r="CH32" s="45"/>
      <c r="CI32" s="45"/>
      <c r="CJ32" s="44"/>
      <c r="CK32" s="45"/>
      <c r="CL32" s="45"/>
      <c r="CM32" s="45"/>
      <c r="CN32" s="45"/>
    </row>
    <row r="33" spans="1:92" ht="15" customHeight="1" x14ac:dyDescent="0.25">
      <c r="A33" s="29" t="str">
        <f>'Kamus WBS'!A29</f>
        <v>6</v>
      </c>
      <c r="B33" s="30" t="str">
        <f>'Kamus WBS'!B29</f>
        <v>Pemrograman</v>
      </c>
      <c r="C33" s="31" t="str">
        <f>'Kamus WBS'!D29</f>
        <v>Programmer</v>
      </c>
      <c r="D33" s="32">
        <f>G33-F33+1</f>
        <v>15</v>
      </c>
      <c r="E33" s="32" t="s">
        <v>68</v>
      </c>
      <c r="F33" s="32">
        <f>MIN(F34:F36)</f>
        <v>41</v>
      </c>
      <c r="G33" s="32">
        <f>MAX(G34:G36)</f>
        <v>55</v>
      </c>
      <c r="H33" s="33" t="str">
        <f>IFERROR(INDEX(#REF!,MATCH(F33,#REF!,0)),"—")</f>
        <v>—</v>
      </c>
      <c r="I33" s="33" t="str">
        <f>IFERROR(INDEX(#REF!,MATCH(G33,#REF!,0)),"—")</f>
        <v>—</v>
      </c>
      <c r="J33" s="32" t="str">
        <f>IFERROR(INDEX(#REF!,MATCH(F33,#REF!,0)),"—")</f>
        <v>—</v>
      </c>
      <c r="K33" s="32" t="str">
        <f>IFERROR(INDEX(#REF!,MATCH(G33,#REF!,0)),"—")</f>
        <v>—</v>
      </c>
      <c r="L33" s="34" t="str">
        <f>IF(COUNTIF(L34:L36,"✓ Selesai")=ROWS(L34:L36),"✓ Selesai",IF(COUNTIF(L34:L36,"Terlambat")&gt;0,"Terlambat",IF(COUNTIF(L34:L36,"Revisi")&gt;0,"Revisi","Belum")))</f>
        <v>Belum</v>
      </c>
      <c r="M33" s="35"/>
      <c r="N33" s="36"/>
      <c r="O33" s="36"/>
      <c r="P33" s="36"/>
      <c r="Q33" s="36"/>
      <c r="R33" s="35"/>
      <c r="S33" s="36"/>
      <c r="T33" s="36"/>
      <c r="U33" s="36"/>
      <c r="V33" s="36"/>
      <c r="W33" s="35"/>
      <c r="X33" s="36"/>
      <c r="Y33" s="36"/>
      <c r="Z33" s="36"/>
      <c r="AA33" s="36"/>
      <c r="AB33" s="35"/>
      <c r="AC33" s="36"/>
      <c r="AD33" s="36"/>
      <c r="AE33" s="36"/>
      <c r="AF33" s="36"/>
      <c r="AG33" s="35"/>
      <c r="AH33" s="36"/>
      <c r="AI33" s="36"/>
      <c r="AJ33" s="36"/>
      <c r="AK33" s="36"/>
      <c r="AL33" s="35"/>
      <c r="AM33" s="36"/>
      <c r="AN33" s="36"/>
      <c r="AO33" s="36"/>
      <c r="AP33" s="36"/>
      <c r="AQ33" s="35"/>
      <c r="AR33" s="36"/>
      <c r="AS33" s="36"/>
      <c r="AT33" s="36"/>
      <c r="AU33" s="36"/>
      <c r="AV33" s="35"/>
      <c r="AW33" s="36"/>
      <c r="AX33" s="36"/>
      <c r="AY33" s="36"/>
      <c r="AZ33" s="36"/>
      <c r="BA33" s="35"/>
      <c r="BB33" s="36"/>
      <c r="BC33" s="36"/>
      <c r="BD33" s="36"/>
      <c r="BE33" s="36"/>
      <c r="BF33" s="35"/>
      <c r="BG33" s="36"/>
      <c r="BH33" s="36"/>
      <c r="BI33" s="36"/>
      <c r="BJ33" s="36"/>
      <c r="BK33" s="35"/>
      <c r="BL33" s="36"/>
      <c r="BM33" s="36"/>
      <c r="BN33" s="36"/>
      <c r="BO33" s="36"/>
      <c r="BP33" s="35"/>
      <c r="BQ33" s="36"/>
      <c r="BR33" s="36"/>
      <c r="BS33" s="36"/>
      <c r="BT33" s="36"/>
      <c r="BU33" s="35"/>
      <c r="BV33" s="36"/>
      <c r="BW33" s="36"/>
      <c r="BX33" s="36"/>
      <c r="BY33" s="36"/>
      <c r="BZ33" s="35"/>
      <c r="CA33" s="36"/>
      <c r="CB33" s="36"/>
      <c r="CC33" s="36"/>
      <c r="CD33" s="36"/>
      <c r="CE33" s="35"/>
      <c r="CF33" s="36"/>
      <c r="CG33" s="36"/>
      <c r="CH33" s="36"/>
      <c r="CI33" s="36"/>
      <c r="CJ33" s="35"/>
      <c r="CK33" s="36"/>
      <c r="CL33" s="36"/>
      <c r="CM33" s="36"/>
      <c r="CN33" s="36"/>
    </row>
    <row r="34" spans="1:92" ht="15" customHeight="1" x14ac:dyDescent="0.25">
      <c r="A34" s="37" t="str">
        <f>'Kamus WBS'!A30</f>
        <v>6.1</v>
      </c>
      <c r="B34" s="38" t="str">
        <f>'Kamus WBS'!B30</f>
        <v>Sprint 1 – fitur dasar</v>
      </c>
      <c r="C34" s="39" t="str">
        <f>'Kamus WBS'!D30</f>
        <v>Programmer</v>
      </c>
      <c r="D34" s="46">
        <f>'Kamus WBS'!E30</f>
        <v>5</v>
      </c>
      <c r="E34" s="41" t="s">
        <v>81</v>
      </c>
      <c r="F34" s="40">
        <f>IF(OR(E34="",E34="—"),1,INDEX($G$10:$G$45,MATCH(E34,$A$10:$A$45,0))+1)</f>
        <v>41</v>
      </c>
      <c r="G34" s="40">
        <f>F34+D34-1</f>
        <v>45</v>
      </c>
      <c r="H34" s="42" t="str">
        <f>IFERROR(INDEX(#REF!,MATCH(F34,#REF!,0)),"—")</f>
        <v>—</v>
      </c>
      <c r="I34" s="42" t="str">
        <f>IFERROR(INDEX(#REF!,MATCH(G34,#REF!,0)),"—")</f>
        <v>—</v>
      </c>
      <c r="J34" s="40" t="str">
        <f>IFERROR(INDEX(#REF!,MATCH(F34,#REF!,0)),"—")</f>
        <v>—</v>
      </c>
      <c r="K34" s="40" t="str">
        <f>IFERROR(INDEX(#REF!,MATCH(G34,#REF!,0)),"—")</f>
        <v>—</v>
      </c>
      <c r="L34" s="43" t="s">
        <v>149</v>
      </c>
      <c r="M34" s="44"/>
      <c r="N34" s="45"/>
      <c r="O34" s="45"/>
      <c r="P34" s="45"/>
      <c r="Q34" s="45"/>
      <c r="R34" s="44"/>
      <c r="S34" s="45"/>
      <c r="T34" s="45"/>
      <c r="U34" s="45"/>
      <c r="V34" s="45"/>
      <c r="W34" s="44"/>
      <c r="X34" s="45"/>
      <c r="Y34" s="45"/>
      <c r="Z34" s="45"/>
      <c r="AA34" s="45"/>
      <c r="AB34" s="44"/>
      <c r="AC34" s="45"/>
      <c r="AD34" s="45"/>
      <c r="AE34" s="45"/>
      <c r="AF34" s="45"/>
      <c r="AG34" s="44"/>
      <c r="AH34" s="45"/>
      <c r="AI34" s="45"/>
      <c r="AJ34" s="45"/>
      <c r="AK34" s="45"/>
      <c r="AL34" s="44"/>
      <c r="AM34" s="45"/>
      <c r="AN34" s="45"/>
      <c r="AO34" s="45"/>
      <c r="AP34" s="45"/>
      <c r="AQ34" s="44"/>
      <c r="AR34" s="45"/>
      <c r="AS34" s="45"/>
      <c r="AT34" s="45"/>
      <c r="AU34" s="45"/>
      <c r="AV34" s="44"/>
      <c r="AW34" s="45"/>
      <c r="AX34" s="45"/>
      <c r="AY34" s="45"/>
      <c r="AZ34" s="45"/>
      <c r="BA34" s="44"/>
      <c r="BB34" s="45"/>
      <c r="BC34" s="45"/>
      <c r="BD34" s="45"/>
      <c r="BE34" s="45"/>
      <c r="BF34" s="44"/>
      <c r="BG34" s="45"/>
      <c r="BH34" s="45"/>
      <c r="BI34" s="45"/>
      <c r="BJ34" s="45"/>
      <c r="BK34" s="44"/>
      <c r="BL34" s="45"/>
      <c r="BM34" s="45"/>
      <c r="BN34" s="45"/>
      <c r="BO34" s="45"/>
      <c r="BP34" s="44"/>
      <c r="BQ34" s="45"/>
      <c r="BR34" s="45"/>
      <c r="BS34" s="45"/>
      <c r="BT34" s="45"/>
      <c r="BU34" s="44"/>
      <c r="BV34" s="45"/>
      <c r="BW34" s="45"/>
      <c r="BX34" s="45"/>
      <c r="BY34" s="45"/>
      <c r="BZ34" s="44"/>
      <c r="CA34" s="45"/>
      <c r="CB34" s="45"/>
      <c r="CC34" s="45"/>
      <c r="CD34" s="45"/>
      <c r="CE34" s="44"/>
      <c r="CF34" s="45"/>
      <c r="CG34" s="45"/>
      <c r="CH34" s="45"/>
      <c r="CI34" s="45"/>
      <c r="CJ34" s="44"/>
      <c r="CK34" s="45"/>
      <c r="CL34" s="45"/>
      <c r="CM34" s="45"/>
      <c r="CN34" s="45"/>
    </row>
    <row r="35" spans="1:92" ht="15" customHeight="1" x14ac:dyDescent="0.25">
      <c r="A35" s="37" t="str">
        <f>'Kamus WBS'!A31</f>
        <v>6.2</v>
      </c>
      <c r="B35" s="38" t="str">
        <f>'Kamus WBS'!B31</f>
        <v>Sprint 2 – fitur lanjutan</v>
      </c>
      <c r="C35" s="39" t="str">
        <f>'Kamus WBS'!D31</f>
        <v>Programmer</v>
      </c>
      <c r="D35" s="46">
        <f>'Kamus WBS'!E31</f>
        <v>5</v>
      </c>
      <c r="E35" s="41" t="s">
        <v>88</v>
      </c>
      <c r="F35" s="40">
        <f>IF(OR(E35="",E35="—"),1,INDEX($G$10:$G$45,MATCH(E35,$A$10:$A$45,0))+1)</f>
        <v>46</v>
      </c>
      <c r="G35" s="40">
        <f>F35+D35-1</f>
        <v>50</v>
      </c>
      <c r="H35" s="42" t="str">
        <f>IFERROR(INDEX(#REF!,MATCH(F35,#REF!,0)),"—")</f>
        <v>—</v>
      </c>
      <c r="I35" s="42" t="str">
        <f>IFERROR(INDEX(#REF!,MATCH(G35,#REF!,0)),"—")</f>
        <v>—</v>
      </c>
      <c r="J35" s="40" t="str">
        <f>IFERROR(INDEX(#REF!,MATCH(F35,#REF!,0)),"—")</f>
        <v>—</v>
      </c>
      <c r="K35" s="40" t="str">
        <f>IFERROR(INDEX(#REF!,MATCH(G35,#REF!,0)),"—")</f>
        <v>—</v>
      </c>
      <c r="L35" s="43" t="s">
        <v>149</v>
      </c>
      <c r="M35" s="44"/>
      <c r="N35" s="45"/>
      <c r="O35" s="45"/>
      <c r="P35" s="45"/>
      <c r="Q35" s="45"/>
      <c r="R35" s="44"/>
      <c r="S35" s="45"/>
      <c r="T35" s="45"/>
      <c r="U35" s="45"/>
      <c r="V35" s="45"/>
      <c r="W35" s="44"/>
      <c r="X35" s="45"/>
      <c r="Y35" s="45"/>
      <c r="Z35" s="45"/>
      <c r="AA35" s="45"/>
      <c r="AB35" s="44"/>
      <c r="AC35" s="45"/>
      <c r="AD35" s="45"/>
      <c r="AE35" s="45"/>
      <c r="AF35" s="45"/>
      <c r="AG35" s="44"/>
      <c r="AH35" s="45"/>
      <c r="AI35" s="45"/>
      <c r="AJ35" s="45"/>
      <c r="AK35" s="45"/>
      <c r="AL35" s="44"/>
      <c r="AM35" s="45"/>
      <c r="AN35" s="45"/>
      <c r="AO35" s="45"/>
      <c r="AP35" s="45"/>
      <c r="AQ35" s="44"/>
      <c r="AR35" s="45"/>
      <c r="AS35" s="45"/>
      <c r="AT35" s="45"/>
      <c r="AU35" s="45"/>
      <c r="AV35" s="44"/>
      <c r="AW35" s="45"/>
      <c r="AX35" s="45"/>
      <c r="AY35" s="45"/>
      <c r="AZ35" s="45"/>
      <c r="BA35" s="44"/>
      <c r="BB35" s="45"/>
      <c r="BC35" s="45"/>
      <c r="BD35" s="45"/>
      <c r="BE35" s="45"/>
      <c r="BF35" s="44"/>
      <c r="BG35" s="45"/>
      <c r="BH35" s="45"/>
      <c r="BI35" s="45"/>
      <c r="BJ35" s="45"/>
      <c r="BK35" s="44"/>
      <c r="BL35" s="45"/>
      <c r="BM35" s="45"/>
      <c r="BN35" s="45"/>
      <c r="BO35" s="45"/>
      <c r="BP35" s="44"/>
      <c r="BQ35" s="45"/>
      <c r="BR35" s="45"/>
      <c r="BS35" s="45"/>
      <c r="BT35" s="45"/>
      <c r="BU35" s="44"/>
      <c r="BV35" s="45"/>
      <c r="BW35" s="45"/>
      <c r="BX35" s="45"/>
      <c r="BY35" s="45"/>
      <c r="BZ35" s="44"/>
      <c r="CA35" s="45"/>
      <c r="CB35" s="45"/>
      <c r="CC35" s="45"/>
      <c r="CD35" s="45"/>
      <c r="CE35" s="44"/>
      <c r="CF35" s="45"/>
      <c r="CG35" s="45"/>
      <c r="CH35" s="45"/>
      <c r="CI35" s="45"/>
      <c r="CJ35" s="44"/>
      <c r="CK35" s="45"/>
      <c r="CL35" s="45"/>
      <c r="CM35" s="45"/>
      <c r="CN35" s="45"/>
    </row>
    <row r="36" spans="1:92" ht="15" customHeight="1" x14ac:dyDescent="0.25">
      <c r="A36" s="37" t="str">
        <f>'Kamus WBS'!A32</f>
        <v>6.3</v>
      </c>
      <c r="B36" s="38" t="str">
        <f>'Kamus WBS'!B32</f>
        <v>Sprint 3 – semua fitur lengkap</v>
      </c>
      <c r="C36" s="39" t="str">
        <f>'Kamus WBS'!D32</f>
        <v>Programmer</v>
      </c>
      <c r="D36" s="46">
        <f>'Kamus WBS'!E32</f>
        <v>5</v>
      </c>
      <c r="E36" s="41" t="s">
        <v>91</v>
      </c>
      <c r="F36" s="40">
        <f>IF(OR(E36="",E36="—"),1,INDEX($G$10:$G$45,MATCH(E36,$A$10:$A$45,0))+1)</f>
        <v>51</v>
      </c>
      <c r="G36" s="40">
        <f>F36+D36-1</f>
        <v>55</v>
      </c>
      <c r="H36" s="42" t="str">
        <f>IFERROR(INDEX(#REF!,MATCH(F36,#REF!,0)),"—")</f>
        <v>—</v>
      </c>
      <c r="I36" s="42" t="str">
        <f>IFERROR(INDEX(#REF!,MATCH(G36,#REF!,0)),"—")</f>
        <v>—</v>
      </c>
      <c r="J36" s="40" t="str">
        <f>IFERROR(INDEX(#REF!,MATCH(F36,#REF!,0)),"—")</f>
        <v>—</v>
      </c>
      <c r="K36" s="40" t="str">
        <f>IFERROR(INDEX(#REF!,MATCH(G36,#REF!,0)),"—")</f>
        <v>—</v>
      </c>
      <c r="L36" s="43" t="s">
        <v>149</v>
      </c>
      <c r="M36" s="44"/>
      <c r="N36" s="45"/>
      <c r="O36" s="45"/>
      <c r="P36" s="45"/>
      <c r="Q36" s="45"/>
      <c r="R36" s="44"/>
      <c r="S36" s="45"/>
      <c r="T36" s="45"/>
      <c r="U36" s="45"/>
      <c r="V36" s="45"/>
      <c r="W36" s="44"/>
      <c r="X36" s="45"/>
      <c r="Y36" s="45"/>
      <c r="Z36" s="45"/>
      <c r="AA36" s="45"/>
      <c r="AB36" s="44"/>
      <c r="AC36" s="45"/>
      <c r="AD36" s="45"/>
      <c r="AE36" s="45"/>
      <c r="AF36" s="45"/>
      <c r="AG36" s="44"/>
      <c r="AH36" s="45"/>
      <c r="AI36" s="45"/>
      <c r="AJ36" s="45"/>
      <c r="AK36" s="45"/>
      <c r="AL36" s="44"/>
      <c r="AM36" s="45"/>
      <c r="AN36" s="45"/>
      <c r="AO36" s="45"/>
      <c r="AP36" s="45"/>
      <c r="AQ36" s="44"/>
      <c r="AR36" s="45"/>
      <c r="AS36" s="45"/>
      <c r="AT36" s="45"/>
      <c r="AU36" s="45"/>
      <c r="AV36" s="44"/>
      <c r="AW36" s="45"/>
      <c r="AX36" s="45"/>
      <c r="AY36" s="45"/>
      <c r="AZ36" s="45"/>
      <c r="BA36" s="44"/>
      <c r="BB36" s="45"/>
      <c r="BC36" s="45"/>
      <c r="BD36" s="45"/>
      <c r="BE36" s="45"/>
      <c r="BF36" s="44"/>
      <c r="BG36" s="45"/>
      <c r="BH36" s="45"/>
      <c r="BI36" s="45"/>
      <c r="BJ36" s="45"/>
      <c r="BK36" s="44"/>
      <c r="BL36" s="45"/>
      <c r="BM36" s="45"/>
      <c r="BN36" s="45"/>
      <c r="BO36" s="45"/>
      <c r="BP36" s="44"/>
      <c r="BQ36" s="45"/>
      <c r="BR36" s="45"/>
      <c r="BS36" s="45"/>
      <c r="BT36" s="45"/>
      <c r="BU36" s="44"/>
      <c r="BV36" s="45"/>
      <c r="BW36" s="45"/>
      <c r="BX36" s="45"/>
      <c r="BY36" s="45"/>
      <c r="BZ36" s="44"/>
      <c r="CA36" s="45"/>
      <c r="CB36" s="45"/>
      <c r="CC36" s="45"/>
      <c r="CD36" s="45"/>
      <c r="CE36" s="44"/>
      <c r="CF36" s="45"/>
      <c r="CG36" s="45"/>
      <c r="CH36" s="45"/>
      <c r="CI36" s="45"/>
      <c r="CJ36" s="44"/>
      <c r="CK36" s="45"/>
      <c r="CL36" s="45"/>
      <c r="CM36" s="45"/>
      <c r="CN36" s="45"/>
    </row>
    <row r="37" spans="1:92" ht="15" customHeight="1" x14ac:dyDescent="0.25">
      <c r="A37" s="29" t="str">
        <f>'Kamus WBS'!A33</f>
        <v>7</v>
      </c>
      <c r="B37" s="30" t="str">
        <f>'Kamus WBS'!B33</f>
        <v>Pengujian</v>
      </c>
      <c r="C37" s="31" t="str">
        <f>'Kamus WBS'!D33</f>
        <v>Tester</v>
      </c>
      <c r="D37" s="32">
        <f>G37-F37+1</f>
        <v>5</v>
      </c>
      <c r="E37" s="32" t="s">
        <v>84</v>
      </c>
      <c r="F37" s="32">
        <f>MIN(F38:F40)</f>
        <v>56</v>
      </c>
      <c r="G37" s="32">
        <f>MAX(G38:G40)</f>
        <v>60</v>
      </c>
      <c r="H37" s="33" t="str">
        <f>IFERROR(INDEX(#REF!,MATCH(F37,#REF!,0)),"—")</f>
        <v>—</v>
      </c>
      <c r="I37" s="33" t="str">
        <f>IFERROR(INDEX(#REF!,MATCH(G37,#REF!,0)),"—")</f>
        <v>—</v>
      </c>
      <c r="J37" s="32" t="str">
        <f>IFERROR(INDEX(#REF!,MATCH(F37,#REF!,0)),"—")</f>
        <v>—</v>
      </c>
      <c r="K37" s="32" t="str">
        <f>IFERROR(INDEX(#REF!,MATCH(G37,#REF!,0)),"—")</f>
        <v>—</v>
      </c>
      <c r="L37" s="34" t="str">
        <f>IF(COUNTIF(L38:L40,"✓ Selesai")=ROWS(L38:L40),"✓ Selesai",IF(COUNTIF(L38:L40,"Terlambat")&gt;0,"Terlambat",IF(COUNTIF(L38:L40,"Revisi")&gt;0,"Revisi","Belum")))</f>
        <v>Belum</v>
      </c>
      <c r="M37" s="35"/>
      <c r="N37" s="36"/>
      <c r="O37" s="36"/>
      <c r="P37" s="36"/>
      <c r="Q37" s="36"/>
      <c r="R37" s="35"/>
      <c r="S37" s="36"/>
      <c r="T37" s="36"/>
      <c r="U37" s="36"/>
      <c r="V37" s="36"/>
      <c r="W37" s="35"/>
      <c r="X37" s="36"/>
      <c r="Y37" s="36"/>
      <c r="Z37" s="36"/>
      <c r="AA37" s="36"/>
      <c r="AB37" s="35"/>
      <c r="AC37" s="36"/>
      <c r="AD37" s="36"/>
      <c r="AE37" s="36"/>
      <c r="AF37" s="36"/>
      <c r="AG37" s="35"/>
      <c r="AH37" s="36"/>
      <c r="AI37" s="36"/>
      <c r="AJ37" s="36"/>
      <c r="AK37" s="36"/>
      <c r="AL37" s="35"/>
      <c r="AM37" s="36"/>
      <c r="AN37" s="36"/>
      <c r="AO37" s="36"/>
      <c r="AP37" s="36"/>
      <c r="AQ37" s="35"/>
      <c r="AR37" s="36"/>
      <c r="AS37" s="36"/>
      <c r="AT37" s="36"/>
      <c r="AU37" s="36"/>
      <c r="AV37" s="35"/>
      <c r="AW37" s="36"/>
      <c r="AX37" s="36"/>
      <c r="AY37" s="36"/>
      <c r="AZ37" s="36"/>
      <c r="BA37" s="35"/>
      <c r="BB37" s="36"/>
      <c r="BC37" s="36"/>
      <c r="BD37" s="36"/>
      <c r="BE37" s="36"/>
      <c r="BF37" s="35"/>
      <c r="BG37" s="36"/>
      <c r="BH37" s="36"/>
      <c r="BI37" s="36"/>
      <c r="BJ37" s="36"/>
      <c r="BK37" s="35"/>
      <c r="BL37" s="36"/>
      <c r="BM37" s="36"/>
      <c r="BN37" s="36"/>
      <c r="BO37" s="36"/>
      <c r="BP37" s="35"/>
      <c r="BQ37" s="36"/>
      <c r="BR37" s="36"/>
      <c r="BS37" s="36"/>
      <c r="BT37" s="36"/>
      <c r="BU37" s="35"/>
      <c r="BV37" s="36"/>
      <c r="BW37" s="36"/>
      <c r="BX37" s="36"/>
      <c r="BY37" s="36"/>
      <c r="BZ37" s="35"/>
      <c r="CA37" s="36"/>
      <c r="CB37" s="36"/>
      <c r="CC37" s="36"/>
      <c r="CD37" s="36"/>
      <c r="CE37" s="35"/>
      <c r="CF37" s="36"/>
      <c r="CG37" s="36"/>
      <c r="CH37" s="36"/>
      <c r="CI37" s="36"/>
      <c r="CJ37" s="35"/>
      <c r="CK37" s="36"/>
      <c r="CL37" s="36"/>
      <c r="CM37" s="36"/>
      <c r="CN37" s="36"/>
    </row>
    <row r="38" spans="1:92" ht="15" customHeight="1" x14ac:dyDescent="0.25">
      <c r="A38" s="37" t="str">
        <f>'Kamus WBS'!A34</f>
        <v>7.1</v>
      </c>
      <c r="B38" s="38" t="str">
        <f>'Kamus WBS'!B34</f>
        <v>Pengujian modul &amp; integrasi</v>
      </c>
      <c r="C38" s="39" t="str">
        <f>'Kamus WBS'!D34</f>
        <v>Tester</v>
      </c>
      <c r="D38" s="46">
        <f>'Kamus WBS'!E34</f>
        <v>2</v>
      </c>
      <c r="E38" s="41" t="s">
        <v>94</v>
      </c>
      <c r="F38" s="40">
        <f>IF(OR(E38="",E38="—"),1,INDEX($G$10:$G$45,MATCH(E38,$A$10:$A$45,0))+1)</f>
        <v>56</v>
      </c>
      <c r="G38" s="40">
        <f>F38+D38-1</f>
        <v>57</v>
      </c>
      <c r="H38" s="42" t="str">
        <f>IFERROR(INDEX(#REF!,MATCH(F38,#REF!,0)),"—")</f>
        <v>—</v>
      </c>
      <c r="I38" s="42" t="str">
        <f>IFERROR(INDEX(#REF!,MATCH(G38,#REF!,0)),"—")</f>
        <v>—</v>
      </c>
      <c r="J38" s="40" t="str">
        <f>IFERROR(INDEX(#REF!,MATCH(F38,#REF!,0)),"—")</f>
        <v>—</v>
      </c>
      <c r="K38" s="40" t="str">
        <f>IFERROR(INDEX(#REF!,MATCH(G38,#REF!,0)),"—")</f>
        <v>—</v>
      </c>
      <c r="L38" s="43" t="s">
        <v>149</v>
      </c>
      <c r="M38" s="44"/>
      <c r="N38" s="45"/>
      <c r="O38" s="45"/>
      <c r="P38" s="45"/>
      <c r="Q38" s="45"/>
      <c r="R38" s="44"/>
      <c r="S38" s="45"/>
      <c r="T38" s="45"/>
      <c r="U38" s="45"/>
      <c r="V38" s="45"/>
      <c r="W38" s="44"/>
      <c r="X38" s="45"/>
      <c r="Y38" s="45"/>
      <c r="Z38" s="45"/>
      <c r="AA38" s="45"/>
      <c r="AB38" s="44"/>
      <c r="AC38" s="45"/>
      <c r="AD38" s="45"/>
      <c r="AE38" s="45"/>
      <c r="AF38" s="45"/>
      <c r="AG38" s="44"/>
      <c r="AH38" s="45"/>
      <c r="AI38" s="45"/>
      <c r="AJ38" s="45"/>
      <c r="AK38" s="45"/>
      <c r="AL38" s="44"/>
      <c r="AM38" s="45"/>
      <c r="AN38" s="45"/>
      <c r="AO38" s="45"/>
      <c r="AP38" s="45"/>
      <c r="AQ38" s="44"/>
      <c r="AR38" s="45"/>
      <c r="AS38" s="45"/>
      <c r="AT38" s="45"/>
      <c r="AU38" s="45"/>
      <c r="AV38" s="44"/>
      <c r="AW38" s="45"/>
      <c r="AX38" s="45"/>
      <c r="AY38" s="45"/>
      <c r="AZ38" s="45"/>
      <c r="BA38" s="44"/>
      <c r="BB38" s="45"/>
      <c r="BC38" s="45"/>
      <c r="BD38" s="45"/>
      <c r="BE38" s="45"/>
      <c r="BF38" s="44"/>
      <c r="BG38" s="45"/>
      <c r="BH38" s="45"/>
      <c r="BI38" s="45"/>
      <c r="BJ38" s="45"/>
      <c r="BK38" s="44"/>
      <c r="BL38" s="45"/>
      <c r="BM38" s="45"/>
      <c r="BN38" s="45"/>
      <c r="BO38" s="45"/>
      <c r="BP38" s="44"/>
      <c r="BQ38" s="45"/>
      <c r="BR38" s="45"/>
      <c r="BS38" s="45"/>
      <c r="BT38" s="45"/>
      <c r="BU38" s="44"/>
      <c r="BV38" s="45"/>
      <c r="BW38" s="45"/>
      <c r="BX38" s="45"/>
      <c r="BY38" s="45"/>
      <c r="BZ38" s="44"/>
      <c r="CA38" s="45"/>
      <c r="CB38" s="45"/>
      <c r="CC38" s="45"/>
      <c r="CD38" s="45"/>
      <c r="CE38" s="44"/>
      <c r="CF38" s="45"/>
      <c r="CG38" s="45"/>
      <c r="CH38" s="45"/>
      <c r="CI38" s="45"/>
      <c r="CJ38" s="44"/>
      <c r="CK38" s="45"/>
      <c r="CL38" s="45"/>
      <c r="CM38" s="45"/>
      <c r="CN38" s="45"/>
    </row>
    <row r="39" spans="1:92" ht="15" customHeight="1" x14ac:dyDescent="0.25">
      <c r="A39" s="37" t="str">
        <f>'Kamus WBS'!A35</f>
        <v>7.2</v>
      </c>
      <c r="B39" s="38" t="str">
        <f>'Kamus WBS'!B35</f>
        <v>User Acceptance Test (UAT)</v>
      </c>
      <c r="C39" s="39" t="str">
        <f>'Kamus WBS'!D35</f>
        <v>Tester</v>
      </c>
      <c r="D39" s="46">
        <f>'Kamus WBS'!E35</f>
        <v>2</v>
      </c>
      <c r="E39" s="41" t="s">
        <v>101</v>
      </c>
      <c r="F39" s="40">
        <f>IF(OR(E39="",E39="—"),1,INDEX($G$10:$G$45,MATCH(E39,$A$10:$A$45,0))+1)</f>
        <v>58</v>
      </c>
      <c r="G39" s="40">
        <f>F39+D39-1</f>
        <v>59</v>
      </c>
      <c r="H39" s="42" t="str">
        <f>IFERROR(INDEX(#REF!,MATCH(F39,#REF!,0)),"—")</f>
        <v>—</v>
      </c>
      <c r="I39" s="42" t="str">
        <f>IFERROR(INDEX(#REF!,MATCH(G39,#REF!,0)),"—")</f>
        <v>—</v>
      </c>
      <c r="J39" s="40" t="str">
        <f>IFERROR(INDEX(#REF!,MATCH(F39,#REF!,0)),"—")</f>
        <v>—</v>
      </c>
      <c r="K39" s="40" t="str">
        <f>IFERROR(INDEX(#REF!,MATCH(G39,#REF!,0)),"—")</f>
        <v>—</v>
      </c>
      <c r="L39" s="43" t="s">
        <v>149</v>
      </c>
      <c r="M39" s="44"/>
      <c r="N39" s="45"/>
      <c r="O39" s="45"/>
      <c r="P39" s="45"/>
      <c r="Q39" s="45"/>
      <c r="R39" s="44"/>
      <c r="S39" s="45"/>
      <c r="T39" s="45"/>
      <c r="U39" s="45"/>
      <c r="V39" s="45"/>
      <c r="W39" s="44"/>
      <c r="X39" s="45"/>
      <c r="Y39" s="45"/>
      <c r="Z39" s="45"/>
      <c r="AA39" s="45"/>
      <c r="AB39" s="44"/>
      <c r="AC39" s="45"/>
      <c r="AD39" s="45"/>
      <c r="AE39" s="45"/>
      <c r="AF39" s="45"/>
      <c r="AG39" s="44"/>
      <c r="AH39" s="45"/>
      <c r="AI39" s="45"/>
      <c r="AJ39" s="45"/>
      <c r="AK39" s="45"/>
      <c r="AL39" s="44"/>
      <c r="AM39" s="45"/>
      <c r="AN39" s="45"/>
      <c r="AO39" s="45"/>
      <c r="AP39" s="45"/>
      <c r="AQ39" s="44"/>
      <c r="AR39" s="45"/>
      <c r="AS39" s="45"/>
      <c r="AT39" s="45"/>
      <c r="AU39" s="45"/>
      <c r="AV39" s="44"/>
      <c r="AW39" s="45"/>
      <c r="AX39" s="45"/>
      <c r="AY39" s="45"/>
      <c r="AZ39" s="45"/>
      <c r="BA39" s="44"/>
      <c r="BB39" s="45"/>
      <c r="BC39" s="45"/>
      <c r="BD39" s="45"/>
      <c r="BE39" s="45"/>
      <c r="BF39" s="44"/>
      <c r="BG39" s="45"/>
      <c r="BH39" s="45"/>
      <c r="BI39" s="45"/>
      <c r="BJ39" s="45"/>
      <c r="BK39" s="44"/>
      <c r="BL39" s="45"/>
      <c r="BM39" s="45"/>
      <c r="BN39" s="45"/>
      <c r="BO39" s="45"/>
      <c r="BP39" s="44"/>
      <c r="BQ39" s="45"/>
      <c r="BR39" s="45"/>
      <c r="BS39" s="45"/>
      <c r="BT39" s="45"/>
      <c r="BU39" s="44"/>
      <c r="BV39" s="45"/>
      <c r="BW39" s="45"/>
      <c r="BX39" s="45"/>
      <c r="BY39" s="45"/>
      <c r="BZ39" s="44"/>
      <c r="CA39" s="45"/>
      <c r="CB39" s="45"/>
      <c r="CC39" s="45"/>
      <c r="CD39" s="45"/>
      <c r="CE39" s="44"/>
      <c r="CF39" s="45"/>
      <c r="CG39" s="45"/>
      <c r="CH39" s="45"/>
      <c r="CI39" s="45"/>
      <c r="CJ39" s="44"/>
      <c r="CK39" s="45"/>
      <c r="CL39" s="45"/>
      <c r="CM39" s="45"/>
      <c r="CN39" s="45"/>
    </row>
    <row r="40" spans="1:92" ht="15" customHeight="1" x14ac:dyDescent="0.25">
      <c r="A40" s="37" t="str">
        <f>'Kamus WBS'!A36</f>
        <v>7.3</v>
      </c>
      <c r="B40" s="38" t="str">
        <f>'Kamus WBS'!B36</f>
        <v>Perbaikan bug &amp; uji ulang</v>
      </c>
      <c r="C40" s="39" t="str">
        <f>'Kamus WBS'!D36</f>
        <v>Programmer</v>
      </c>
      <c r="D40" s="46">
        <f>'Kamus WBS'!E36</f>
        <v>1</v>
      </c>
      <c r="E40" s="41" t="s">
        <v>104</v>
      </c>
      <c r="F40" s="40">
        <f>IF(OR(E40="",E40="—"),1,INDEX($G$10:$G$45,MATCH(E40,$A$10:$A$45,0))+1)</f>
        <v>60</v>
      </c>
      <c r="G40" s="40">
        <f>F40+D40-1</f>
        <v>60</v>
      </c>
      <c r="H40" s="42" t="str">
        <f>IFERROR(INDEX(#REF!,MATCH(F40,#REF!,0)),"—")</f>
        <v>—</v>
      </c>
      <c r="I40" s="42" t="str">
        <f>IFERROR(INDEX(#REF!,MATCH(G40,#REF!,0)),"—")</f>
        <v>—</v>
      </c>
      <c r="J40" s="40" t="str">
        <f>IFERROR(INDEX(#REF!,MATCH(F40,#REF!,0)),"—")</f>
        <v>—</v>
      </c>
      <c r="K40" s="40" t="str">
        <f>IFERROR(INDEX(#REF!,MATCH(G40,#REF!,0)),"—")</f>
        <v>—</v>
      </c>
      <c r="L40" s="43" t="s">
        <v>149</v>
      </c>
      <c r="M40" s="44"/>
      <c r="N40" s="45"/>
      <c r="O40" s="45"/>
      <c r="P40" s="45"/>
      <c r="Q40" s="45"/>
      <c r="R40" s="44"/>
      <c r="S40" s="45"/>
      <c r="T40" s="45"/>
      <c r="U40" s="45"/>
      <c r="V40" s="45"/>
      <c r="W40" s="44"/>
      <c r="X40" s="45"/>
      <c r="Y40" s="45"/>
      <c r="Z40" s="45"/>
      <c r="AA40" s="45"/>
      <c r="AB40" s="44"/>
      <c r="AC40" s="45"/>
      <c r="AD40" s="45"/>
      <c r="AE40" s="45"/>
      <c r="AF40" s="45"/>
      <c r="AG40" s="44"/>
      <c r="AH40" s="45"/>
      <c r="AI40" s="45"/>
      <c r="AJ40" s="45"/>
      <c r="AK40" s="45"/>
      <c r="AL40" s="44"/>
      <c r="AM40" s="45"/>
      <c r="AN40" s="45"/>
      <c r="AO40" s="45"/>
      <c r="AP40" s="45"/>
      <c r="AQ40" s="44"/>
      <c r="AR40" s="45"/>
      <c r="AS40" s="45"/>
      <c r="AT40" s="45"/>
      <c r="AU40" s="45"/>
      <c r="AV40" s="44"/>
      <c r="AW40" s="45"/>
      <c r="AX40" s="45"/>
      <c r="AY40" s="45"/>
      <c r="AZ40" s="45"/>
      <c r="BA40" s="44"/>
      <c r="BB40" s="45"/>
      <c r="BC40" s="45"/>
      <c r="BD40" s="45"/>
      <c r="BE40" s="45"/>
      <c r="BF40" s="44"/>
      <c r="BG40" s="45"/>
      <c r="BH40" s="45"/>
      <c r="BI40" s="45"/>
      <c r="BJ40" s="45"/>
      <c r="BK40" s="44"/>
      <c r="BL40" s="45"/>
      <c r="BM40" s="45"/>
      <c r="BN40" s="45"/>
      <c r="BO40" s="45"/>
      <c r="BP40" s="44"/>
      <c r="BQ40" s="45"/>
      <c r="BR40" s="45"/>
      <c r="BS40" s="45"/>
      <c r="BT40" s="45"/>
      <c r="BU40" s="44"/>
      <c r="BV40" s="45"/>
      <c r="BW40" s="45"/>
      <c r="BX40" s="45"/>
      <c r="BY40" s="45"/>
      <c r="BZ40" s="44"/>
      <c r="CA40" s="45"/>
      <c r="CB40" s="45"/>
      <c r="CC40" s="45"/>
      <c r="CD40" s="45"/>
      <c r="CE40" s="44"/>
      <c r="CF40" s="45"/>
      <c r="CG40" s="45"/>
      <c r="CH40" s="45"/>
      <c r="CI40" s="45"/>
      <c r="CJ40" s="44"/>
      <c r="CK40" s="45"/>
      <c r="CL40" s="45"/>
      <c r="CM40" s="45"/>
      <c r="CN40" s="45"/>
    </row>
    <row r="41" spans="1:92" ht="15" customHeight="1" x14ac:dyDescent="0.25">
      <c r="A41" s="29" t="str">
        <f>'Kamus WBS'!A37</f>
        <v>8</v>
      </c>
      <c r="B41" s="30" t="str">
        <f>'Kamus WBS'!B37</f>
        <v>Penerapan</v>
      </c>
      <c r="C41" s="31" t="str">
        <f>'Kamus WBS'!D37</f>
        <v>Tech. Writer</v>
      </c>
      <c r="D41" s="32">
        <f>G41-F41+1</f>
        <v>10</v>
      </c>
      <c r="E41" s="32" t="s">
        <v>97</v>
      </c>
      <c r="F41" s="32">
        <f>MIN(F42:F45)</f>
        <v>61</v>
      </c>
      <c r="G41" s="32">
        <f>MAX(G42:G45)</f>
        <v>70</v>
      </c>
      <c r="H41" s="33" t="str">
        <f>IFERROR(INDEX(#REF!,MATCH(F41,#REF!,0)),"—")</f>
        <v>—</v>
      </c>
      <c r="I41" s="33" t="str">
        <f>IFERROR(INDEX(#REF!,MATCH(G41,#REF!,0)),"—")</f>
        <v>—</v>
      </c>
      <c r="J41" s="32" t="str">
        <f>IFERROR(INDEX(#REF!,MATCH(F41,#REF!,0)),"—")</f>
        <v>—</v>
      </c>
      <c r="K41" s="32" t="str">
        <f>IFERROR(INDEX(#REF!,MATCH(G41,#REF!,0)),"—")</f>
        <v>—</v>
      </c>
      <c r="L41" s="34" t="str">
        <f>IF(COUNTIF(L42:L45,"✓ Selesai")=ROWS(L42:L45),"✓ Selesai",IF(COUNTIF(L42:L45,"Terlambat")&gt;0,"Terlambat",IF(COUNTIF(L42:L45,"Revisi")&gt;0,"Revisi","Belum")))</f>
        <v>Belum</v>
      </c>
      <c r="M41" s="35"/>
      <c r="N41" s="36"/>
      <c r="O41" s="36"/>
      <c r="P41" s="36"/>
      <c r="Q41" s="36"/>
      <c r="R41" s="35"/>
      <c r="S41" s="36"/>
      <c r="T41" s="36"/>
      <c r="U41" s="36"/>
      <c r="V41" s="36"/>
      <c r="W41" s="35"/>
      <c r="X41" s="36"/>
      <c r="Y41" s="36"/>
      <c r="Z41" s="36"/>
      <c r="AA41" s="36"/>
      <c r="AB41" s="35"/>
      <c r="AC41" s="36"/>
      <c r="AD41" s="36"/>
      <c r="AE41" s="36"/>
      <c r="AF41" s="36"/>
      <c r="AG41" s="35"/>
      <c r="AH41" s="36"/>
      <c r="AI41" s="36"/>
      <c r="AJ41" s="36"/>
      <c r="AK41" s="36"/>
      <c r="AL41" s="35"/>
      <c r="AM41" s="36"/>
      <c r="AN41" s="36"/>
      <c r="AO41" s="36"/>
      <c r="AP41" s="36"/>
      <c r="AQ41" s="35"/>
      <c r="AR41" s="36"/>
      <c r="AS41" s="36"/>
      <c r="AT41" s="36"/>
      <c r="AU41" s="36"/>
      <c r="AV41" s="35"/>
      <c r="AW41" s="36"/>
      <c r="AX41" s="36"/>
      <c r="AY41" s="36"/>
      <c r="AZ41" s="36"/>
      <c r="BA41" s="35"/>
      <c r="BB41" s="36"/>
      <c r="BC41" s="36"/>
      <c r="BD41" s="36"/>
      <c r="BE41" s="36"/>
      <c r="BF41" s="35"/>
      <c r="BG41" s="36"/>
      <c r="BH41" s="36"/>
      <c r="BI41" s="36"/>
      <c r="BJ41" s="36"/>
      <c r="BK41" s="35"/>
      <c r="BL41" s="36"/>
      <c r="BM41" s="36"/>
      <c r="BN41" s="36"/>
      <c r="BO41" s="36"/>
      <c r="BP41" s="35"/>
      <c r="BQ41" s="36"/>
      <c r="BR41" s="36"/>
      <c r="BS41" s="36"/>
      <c r="BT41" s="36"/>
      <c r="BU41" s="35"/>
      <c r="BV41" s="36"/>
      <c r="BW41" s="36"/>
      <c r="BX41" s="36"/>
      <c r="BY41" s="36"/>
      <c r="BZ41" s="35"/>
      <c r="CA41" s="36"/>
      <c r="CB41" s="36"/>
      <c r="CC41" s="36"/>
      <c r="CD41" s="36"/>
      <c r="CE41" s="35"/>
      <c r="CF41" s="36"/>
      <c r="CG41" s="36"/>
      <c r="CH41" s="36"/>
      <c r="CI41" s="36"/>
      <c r="CJ41" s="35"/>
      <c r="CK41" s="36"/>
      <c r="CL41" s="36"/>
      <c r="CM41" s="36"/>
      <c r="CN41" s="36"/>
    </row>
    <row r="42" spans="1:92" ht="15" customHeight="1" x14ac:dyDescent="0.25">
      <c r="A42" s="37" t="str">
        <f>'Kamus WBS'!A38</f>
        <v>8.1</v>
      </c>
      <c r="B42" s="38" t="str">
        <f>'Kamus WBS'!B38</f>
        <v>Deploy final ke hosting klien</v>
      </c>
      <c r="C42" s="39" t="str">
        <f>'Kamus WBS'!D38</f>
        <v>Programmer</v>
      </c>
      <c r="D42" s="46">
        <f>'Kamus WBS'!E38</f>
        <v>2</v>
      </c>
      <c r="E42" s="41" t="s">
        <v>107</v>
      </c>
      <c r="F42" s="40">
        <f>IF(OR(E42="",E42="—"),1,INDEX($G$10:$G$45,MATCH(E42,$A$10:$A$45,0))+1)</f>
        <v>61</v>
      </c>
      <c r="G42" s="40">
        <f>F42+D42-1</f>
        <v>62</v>
      </c>
      <c r="H42" s="42" t="str">
        <f>IFERROR(INDEX(#REF!,MATCH(F42,#REF!,0)),"—")</f>
        <v>—</v>
      </c>
      <c r="I42" s="42" t="str">
        <f>IFERROR(INDEX(#REF!,MATCH(G42,#REF!,0)),"—")</f>
        <v>—</v>
      </c>
      <c r="J42" s="40" t="str">
        <f>IFERROR(INDEX(#REF!,MATCH(F42,#REF!,0)),"—")</f>
        <v>—</v>
      </c>
      <c r="K42" s="40" t="str">
        <f>IFERROR(INDEX(#REF!,MATCH(G42,#REF!,0)),"—")</f>
        <v>—</v>
      </c>
      <c r="L42" s="43" t="s">
        <v>149</v>
      </c>
      <c r="M42" s="44"/>
      <c r="N42" s="45"/>
      <c r="O42" s="45"/>
      <c r="P42" s="45"/>
      <c r="Q42" s="45"/>
      <c r="R42" s="44"/>
      <c r="S42" s="45"/>
      <c r="T42" s="45"/>
      <c r="U42" s="45"/>
      <c r="V42" s="45"/>
      <c r="W42" s="44"/>
      <c r="X42" s="45"/>
      <c r="Y42" s="45"/>
      <c r="Z42" s="45"/>
      <c r="AA42" s="45"/>
      <c r="AB42" s="44"/>
      <c r="AC42" s="45"/>
      <c r="AD42" s="45"/>
      <c r="AE42" s="45"/>
      <c r="AF42" s="45"/>
      <c r="AG42" s="44"/>
      <c r="AH42" s="45"/>
      <c r="AI42" s="45"/>
      <c r="AJ42" s="45"/>
      <c r="AK42" s="45"/>
      <c r="AL42" s="44"/>
      <c r="AM42" s="45"/>
      <c r="AN42" s="45"/>
      <c r="AO42" s="45"/>
      <c r="AP42" s="45"/>
      <c r="AQ42" s="44"/>
      <c r="AR42" s="45"/>
      <c r="AS42" s="45"/>
      <c r="AT42" s="45"/>
      <c r="AU42" s="45"/>
      <c r="AV42" s="44"/>
      <c r="AW42" s="45"/>
      <c r="AX42" s="45"/>
      <c r="AY42" s="45"/>
      <c r="AZ42" s="45"/>
      <c r="BA42" s="44"/>
      <c r="BB42" s="45"/>
      <c r="BC42" s="45"/>
      <c r="BD42" s="45"/>
      <c r="BE42" s="45"/>
      <c r="BF42" s="44"/>
      <c r="BG42" s="45"/>
      <c r="BH42" s="45"/>
      <c r="BI42" s="45"/>
      <c r="BJ42" s="45"/>
      <c r="BK42" s="44"/>
      <c r="BL42" s="45"/>
      <c r="BM42" s="45"/>
      <c r="BN42" s="45"/>
      <c r="BO42" s="45"/>
      <c r="BP42" s="44"/>
      <c r="BQ42" s="45"/>
      <c r="BR42" s="45"/>
      <c r="BS42" s="45"/>
      <c r="BT42" s="45"/>
      <c r="BU42" s="44"/>
      <c r="BV42" s="45"/>
      <c r="BW42" s="45"/>
      <c r="BX42" s="45"/>
      <c r="BY42" s="45"/>
      <c r="BZ42" s="44"/>
      <c r="CA42" s="45"/>
      <c r="CB42" s="45"/>
      <c r="CC42" s="45"/>
      <c r="CD42" s="45"/>
      <c r="CE42" s="44"/>
      <c r="CF42" s="45"/>
      <c r="CG42" s="45"/>
      <c r="CH42" s="45"/>
      <c r="CI42" s="45"/>
      <c r="CJ42" s="44"/>
      <c r="CK42" s="45"/>
      <c r="CL42" s="45"/>
      <c r="CM42" s="45"/>
      <c r="CN42" s="45"/>
    </row>
    <row r="43" spans="1:92" ht="15" customHeight="1" x14ac:dyDescent="0.25">
      <c r="A43" s="37" t="str">
        <f>'Kamus WBS'!A39</f>
        <v>8.2</v>
      </c>
      <c r="B43" s="38" t="str">
        <f>'Kamus WBS'!B39</f>
        <v>Pelatihan pengguna</v>
      </c>
      <c r="C43" s="39" t="str">
        <f>'Kamus WBS'!D39</f>
        <v>PM</v>
      </c>
      <c r="D43" s="46">
        <f>'Kamus WBS'!E39</f>
        <v>3</v>
      </c>
      <c r="E43" s="41" t="s">
        <v>113</v>
      </c>
      <c r="F43" s="40">
        <f>IF(OR(E43="",E43="—"),1,INDEX($G$10:$G$45,MATCH(E43,$A$10:$A$45,0))+1)</f>
        <v>63</v>
      </c>
      <c r="G43" s="40">
        <f>F43+D43-1</f>
        <v>65</v>
      </c>
      <c r="H43" s="42" t="str">
        <f>IFERROR(INDEX(#REF!,MATCH(F43,#REF!,0)),"—")</f>
        <v>—</v>
      </c>
      <c r="I43" s="42" t="str">
        <f>IFERROR(INDEX(#REF!,MATCH(G43,#REF!,0)),"—")</f>
        <v>—</v>
      </c>
      <c r="J43" s="40" t="str">
        <f>IFERROR(INDEX(#REF!,MATCH(F43,#REF!,0)),"—")</f>
        <v>—</v>
      </c>
      <c r="K43" s="40" t="str">
        <f>IFERROR(INDEX(#REF!,MATCH(G43,#REF!,0)),"—")</f>
        <v>—</v>
      </c>
      <c r="L43" s="43" t="s">
        <v>149</v>
      </c>
      <c r="M43" s="44"/>
      <c r="N43" s="45"/>
      <c r="O43" s="45"/>
      <c r="P43" s="45"/>
      <c r="Q43" s="45"/>
      <c r="R43" s="44"/>
      <c r="S43" s="45"/>
      <c r="T43" s="45"/>
      <c r="U43" s="45"/>
      <c r="V43" s="45"/>
      <c r="W43" s="44"/>
      <c r="X43" s="45"/>
      <c r="Y43" s="45"/>
      <c r="Z43" s="45"/>
      <c r="AA43" s="45"/>
      <c r="AB43" s="44"/>
      <c r="AC43" s="45"/>
      <c r="AD43" s="45"/>
      <c r="AE43" s="45"/>
      <c r="AF43" s="45"/>
      <c r="AG43" s="44"/>
      <c r="AH43" s="45"/>
      <c r="AI43" s="45"/>
      <c r="AJ43" s="45"/>
      <c r="AK43" s="45"/>
      <c r="AL43" s="44"/>
      <c r="AM43" s="45"/>
      <c r="AN43" s="45"/>
      <c r="AO43" s="45"/>
      <c r="AP43" s="45"/>
      <c r="AQ43" s="44"/>
      <c r="AR43" s="45"/>
      <c r="AS43" s="45"/>
      <c r="AT43" s="45"/>
      <c r="AU43" s="45"/>
      <c r="AV43" s="44"/>
      <c r="AW43" s="45"/>
      <c r="AX43" s="45"/>
      <c r="AY43" s="45"/>
      <c r="AZ43" s="45"/>
      <c r="BA43" s="44"/>
      <c r="BB43" s="45"/>
      <c r="BC43" s="45"/>
      <c r="BD43" s="45"/>
      <c r="BE43" s="45"/>
      <c r="BF43" s="44"/>
      <c r="BG43" s="45"/>
      <c r="BH43" s="45"/>
      <c r="BI43" s="45"/>
      <c r="BJ43" s="45"/>
      <c r="BK43" s="44"/>
      <c r="BL43" s="45"/>
      <c r="BM43" s="45"/>
      <c r="BN43" s="45"/>
      <c r="BO43" s="45"/>
      <c r="BP43" s="44"/>
      <c r="BQ43" s="45"/>
      <c r="BR43" s="45"/>
      <c r="BS43" s="45"/>
      <c r="BT43" s="45"/>
      <c r="BU43" s="44"/>
      <c r="BV43" s="45"/>
      <c r="BW43" s="45"/>
      <c r="BX43" s="45"/>
      <c r="BY43" s="45"/>
      <c r="BZ43" s="44"/>
      <c r="CA43" s="45"/>
      <c r="CB43" s="45"/>
      <c r="CC43" s="45"/>
      <c r="CD43" s="45"/>
      <c r="CE43" s="44"/>
      <c r="CF43" s="45"/>
      <c r="CG43" s="45"/>
      <c r="CH43" s="45"/>
      <c r="CI43" s="45"/>
      <c r="CJ43" s="44"/>
      <c r="CK43" s="45"/>
      <c r="CL43" s="45"/>
      <c r="CM43" s="45"/>
      <c r="CN43" s="45"/>
    </row>
    <row r="44" spans="1:92" ht="15" customHeight="1" x14ac:dyDescent="0.25">
      <c r="A44" s="37" t="str">
        <f>'Kamus WBS'!A40</f>
        <v>8.3</v>
      </c>
      <c r="B44" s="38" t="str">
        <f>'Kamus WBS'!B40</f>
        <v>User manual &amp; dokumen penerapan</v>
      </c>
      <c r="C44" s="39" t="str">
        <f>'Kamus WBS'!D40</f>
        <v>Tech. Writer</v>
      </c>
      <c r="D44" s="46">
        <f>'Kamus WBS'!E40</f>
        <v>4</v>
      </c>
      <c r="E44" s="41" t="s">
        <v>113</v>
      </c>
      <c r="F44" s="40">
        <f>IF(OR(E44="",E44="—"),1,INDEX($G$10:$G$45,MATCH(E44,$A$10:$A$45,0))+1)</f>
        <v>63</v>
      </c>
      <c r="G44" s="40">
        <f>F44+D44-1</f>
        <v>66</v>
      </c>
      <c r="H44" s="42" t="str">
        <f>IFERROR(INDEX(#REF!,MATCH(F44,#REF!,0)),"—")</f>
        <v>—</v>
      </c>
      <c r="I44" s="42" t="str">
        <f>IFERROR(INDEX(#REF!,MATCH(G44,#REF!,0)),"—")</f>
        <v>—</v>
      </c>
      <c r="J44" s="40" t="str">
        <f>IFERROR(INDEX(#REF!,MATCH(F44,#REF!,0)),"—")</f>
        <v>—</v>
      </c>
      <c r="K44" s="40" t="str">
        <f>IFERROR(INDEX(#REF!,MATCH(G44,#REF!,0)),"—")</f>
        <v>—</v>
      </c>
      <c r="L44" s="43" t="s">
        <v>149</v>
      </c>
      <c r="M44" s="44"/>
      <c r="N44" s="45"/>
      <c r="O44" s="45"/>
      <c r="P44" s="45"/>
      <c r="Q44" s="45"/>
      <c r="R44" s="44"/>
      <c r="S44" s="45"/>
      <c r="T44" s="45"/>
      <c r="U44" s="45"/>
      <c r="V44" s="45"/>
      <c r="W44" s="44"/>
      <c r="X44" s="45"/>
      <c r="Y44" s="45"/>
      <c r="Z44" s="45"/>
      <c r="AA44" s="45"/>
      <c r="AB44" s="44"/>
      <c r="AC44" s="45"/>
      <c r="AD44" s="45"/>
      <c r="AE44" s="45"/>
      <c r="AF44" s="45"/>
      <c r="AG44" s="44"/>
      <c r="AH44" s="45"/>
      <c r="AI44" s="45"/>
      <c r="AJ44" s="45"/>
      <c r="AK44" s="45"/>
      <c r="AL44" s="44"/>
      <c r="AM44" s="45"/>
      <c r="AN44" s="45"/>
      <c r="AO44" s="45"/>
      <c r="AP44" s="45"/>
      <c r="AQ44" s="44"/>
      <c r="AR44" s="45"/>
      <c r="AS44" s="45"/>
      <c r="AT44" s="45"/>
      <c r="AU44" s="45"/>
      <c r="AV44" s="44"/>
      <c r="AW44" s="45"/>
      <c r="AX44" s="45"/>
      <c r="AY44" s="45"/>
      <c r="AZ44" s="45"/>
      <c r="BA44" s="44"/>
      <c r="BB44" s="45"/>
      <c r="BC44" s="45"/>
      <c r="BD44" s="45"/>
      <c r="BE44" s="45"/>
      <c r="BF44" s="44"/>
      <c r="BG44" s="45"/>
      <c r="BH44" s="45"/>
      <c r="BI44" s="45"/>
      <c r="BJ44" s="45"/>
      <c r="BK44" s="44"/>
      <c r="BL44" s="45"/>
      <c r="BM44" s="45"/>
      <c r="BN44" s="45"/>
      <c r="BO44" s="45"/>
      <c r="BP44" s="44"/>
      <c r="BQ44" s="45"/>
      <c r="BR44" s="45"/>
      <c r="BS44" s="45"/>
      <c r="BT44" s="45"/>
      <c r="BU44" s="44"/>
      <c r="BV44" s="45"/>
      <c r="BW44" s="45"/>
      <c r="BX44" s="45"/>
      <c r="BY44" s="45"/>
      <c r="BZ44" s="44"/>
      <c r="CA44" s="45"/>
      <c r="CB44" s="45"/>
      <c r="CC44" s="45"/>
      <c r="CD44" s="45"/>
      <c r="CE44" s="44"/>
      <c r="CF44" s="45"/>
      <c r="CG44" s="45"/>
      <c r="CH44" s="45"/>
      <c r="CI44" s="45"/>
      <c r="CJ44" s="44"/>
      <c r="CK44" s="45"/>
      <c r="CL44" s="45"/>
      <c r="CM44" s="45"/>
      <c r="CN44" s="45"/>
    </row>
    <row r="45" spans="1:92" ht="15" customHeight="1" x14ac:dyDescent="0.25">
      <c r="A45" s="37" t="str">
        <f>'Kamus WBS'!A41</f>
        <v>8.4</v>
      </c>
      <c r="B45" s="38" t="str">
        <f>'Kamus WBS'!B41</f>
        <v>BAST &amp; laporan akhir</v>
      </c>
      <c r="C45" s="39" t="str">
        <f>'Kamus WBS'!D41</f>
        <v>Tech. Writer</v>
      </c>
      <c r="D45" s="46">
        <f>'Kamus WBS'!E41</f>
        <v>4</v>
      </c>
      <c r="E45" s="41" t="s">
        <v>119</v>
      </c>
      <c r="F45" s="40">
        <f>IF(OR(E45="",E45="—"),1,INDEX($G$10:$G$45,MATCH(E45,$A$10:$A$45,0))+1)</f>
        <v>67</v>
      </c>
      <c r="G45" s="40">
        <f>F45+D45-1</f>
        <v>70</v>
      </c>
      <c r="H45" s="42" t="str">
        <f>IFERROR(INDEX(#REF!,MATCH(F45,#REF!,0)),"—")</f>
        <v>—</v>
      </c>
      <c r="I45" s="42" t="str">
        <f>IFERROR(INDEX(#REF!,MATCH(G45,#REF!,0)),"—")</f>
        <v>—</v>
      </c>
      <c r="J45" s="40" t="str">
        <f>IFERROR(INDEX(#REF!,MATCH(F45,#REF!,0)),"—")</f>
        <v>—</v>
      </c>
      <c r="K45" s="40" t="str">
        <f>IFERROR(INDEX(#REF!,MATCH(G45,#REF!,0)),"—")</f>
        <v>—</v>
      </c>
      <c r="L45" s="43" t="s">
        <v>149</v>
      </c>
      <c r="M45" s="44"/>
      <c r="N45" s="45"/>
      <c r="O45" s="45"/>
      <c r="P45" s="45"/>
      <c r="Q45" s="45"/>
      <c r="R45" s="44"/>
      <c r="S45" s="45"/>
      <c r="T45" s="45"/>
      <c r="U45" s="45"/>
      <c r="V45" s="45"/>
      <c r="W45" s="44"/>
      <c r="X45" s="45"/>
      <c r="Y45" s="45"/>
      <c r="Z45" s="45"/>
      <c r="AA45" s="45"/>
      <c r="AB45" s="44"/>
      <c r="AC45" s="45"/>
      <c r="AD45" s="45"/>
      <c r="AE45" s="45"/>
      <c r="AF45" s="45"/>
      <c r="AG45" s="44"/>
      <c r="AH45" s="45"/>
      <c r="AI45" s="45"/>
      <c r="AJ45" s="45"/>
      <c r="AK45" s="45"/>
      <c r="AL45" s="44"/>
      <c r="AM45" s="45"/>
      <c r="AN45" s="45"/>
      <c r="AO45" s="45"/>
      <c r="AP45" s="45"/>
      <c r="AQ45" s="44"/>
      <c r="AR45" s="45"/>
      <c r="AS45" s="45"/>
      <c r="AT45" s="45"/>
      <c r="AU45" s="45"/>
      <c r="AV45" s="44"/>
      <c r="AW45" s="45"/>
      <c r="AX45" s="45"/>
      <c r="AY45" s="45"/>
      <c r="AZ45" s="45"/>
      <c r="BA45" s="44"/>
      <c r="BB45" s="45"/>
      <c r="BC45" s="45"/>
      <c r="BD45" s="45"/>
      <c r="BE45" s="45"/>
      <c r="BF45" s="44"/>
      <c r="BG45" s="45"/>
      <c r="BH45" s="45"/>
      <c r="BI45" s="45"/>
      <c r="BJ45" s="45"/>
      <c r="BK45" s="44"/>
      <c r="BL45" s="45"/>
      <c r="BM45" s="45"/>
      <c r="BN45" s="45"/>
      <c r="BO45" s="45"/>
      <c r="BP45" s="44"/>
      <c r="BQ45" s="45"/>
      <c r="BR45" s="45"/>
      <c r="BS45" s="45"/>
      <c r="BT45" s="45"/>
      <c r="BU45" s="44"/>
      <c r="BV45" s="45"/>
      <c r="BW45" s="45"/>
      <c r="BX45" s="45"/>
      <c r="BY45" s="45"/>
      <c r="BZ45" s="44"/>
      <c r="CA45" s="45"/>
      <c r="CB45" s="45"/>
      <c r="CC45" s="45"/>
      <c r="CD45" s="45"/>
      <c r="CE45" s="44"/>
      <c r="CF45" s="45"/>
      <c r="CG45" s="45"/>
      <c r="CH45" s="45"/>
      <c r="CI45" s="45"/>
      <c r="CJ45" s="44"/>
      <c r="CK45" s="45"/>
      <c r="CL45" s="45"/>
      <c r="CM45" s="45"/>
      <c r="CN45" s="45"/>
    </row>
    <row r="46" spans="1:92" ht="16.5" customHeight="1" x14ac:dyDescent="0.25">
      <c r="A46" s="47" t="s">
        <v>150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</row>
    <row r="47" spans="1:92" ht="15" customHeight="1" x14ac:dyDescent="0.25">
      <c r="A47" s="49" t="e">
        <f>#REF!</f>
        <v>#REF!</v>
      </c>
      <c r="B47" s="38" t="e">
        <f>#REF!</f>
        <v>#REF!</v>
      </c>
      <c r="C47" s="40"/>
      <c r="D47" s="40"/>
      <c r="E47" s="40"/>
      <c r="F47" s="40"/>
      <c r="G47" s="40"/>
      <c r="H47" s="40"/>
      <c r="I47" s="50" t="e">
        <f>#REF!</f>
        <v>#REF!</v>
      </c>
      <c r="J47" s="40"/>
      <c r="K47" s="39" t="e">
        <f>#REF!</f>
        <v>#REF!</v>
      </c>
      <c r="L47" s="51" t="e">
        <f>#REF!</f>
        <v>#REF!</v>
      </c>
      <c r="M47" s="52" t="e">
        <f t="shared" ref="M47:V55" si="0">IF(M$6=$I47,"◆","")</f>
        <v>#REF!</v>
      </c>
      <c r="N47" s="53" t="e">
        <f t="shared" si="0"/>
        <v>#REF!</v>
      </c>
      <c r="O47" s="53" t="e">
        <f t="shared" si="0"/>
        <v>#REF!</v>
      </c>
      <c r="P47" s="53" t="e">
        <f t="shared" si="0"/>
        <v>#REF!</v>
      </c>
      <c r="Q47" s="53" t="e">
        <f t="shared" si="0"/>
        <v>#REF!</v>
      </c>
      <c r="R47" s="52" t="e">
        <f t="shared" si="0"/>
        <v>#REF!</v>
      </c>
      <c r="S47" s="53" t="e">
        <f t="shared" si="0"/>
        <v>#REF!</v>
      </c>
      <c r="T47" s="53" t="e">
        <f t="shared" si="0"/>
        <v>#REF!</v>
      </c>
      <c r="U47" s="53" t="e">
        <f t="shared" si="0"/>
        <v>#REF!</v>
      </c>
      <c r="V47" s="53" t="e">
        <f t="shared" si="0"/>
        <v>#REF!</v>
      </c>
      <c r="W47" s="52" t="e">
        <f t="shared" ref="W47:AF55" si="1">IF(W$6=$I47,"◆","")</f>
        <v>#REF!</v>
      </c>
      <c r="X47" s="53" t="e">
        <f t="shared" si="1"/>
        <v>#REF!</v>
      </c>
      <c r="Y47" s="53" t="e">
        <f t="shared" si="1"/>
        <v>#REF!</v>
      </c>
      <c r="Z47" s="53" t="e">
        <f t="shared" si="1"/>
        <v>#REF!</v>
      </c>
      <c r="AA47" s="53" t="e">
        <f t="shared" si="1"/>
        <v>#REF!</v>
      </c>
      <c r="AB47" s="52" t="e">
        <f t="shared" si="1"/>
        <v>#REF!</v>
      </c>
      <c r="AC47" s="53" t="e">
        <f t="shared" si="1"/>
        <v>#REF!</v>
      </c>
      <c r="AD47" s="53" t="e">
        <f t="shared" si="1"/>
        <v>#REF!</v>
      </c>
      <c r="AE47" s="53" t="e">
        <f t="shared" si="1"/>
        <v>#REF!</v>
      </c>
      <c r="AF47" s="53" t="e">
        <f t="shared" si="1"/>
        <v>#REF!</v>
      </c>
      <c r="AG47" s="52" t="e">
        <f t="shared" ref="AG47:AP55" si="2">IF(AG$6=$I47,"◆","")</f>
        <v>#REF!</v>
      </c>
      <c r="AH47" s="53" t="e">
        <f t="shared" si="2"/>
        <v>#REF!</v>
      </c>
      <c r="AI47" s="53" t="e">
        <f t="shared" si="2"/>
        <v>#REF!</v>
      </c>
      <c r="AJ47" s="53" t="e">
        <f t="shared" si="2"/>
        <v>#REF!</v>
      </c>
      <c r="AK47" s="53" t="e">
        <f t="shared" si="2"/>
        <v>#REF!</v>
      </c>
      <c r="AL47" s="52" t="e">
        <f t="shared" si="2"/>
        <v>#REF!</v>
      </c>
      <c r="AM47" s="53" t="e">
        <f t="shared" si="2"/>
        <v>#REF!</v>
      </c>
      <c r="AN47" s="53" t="e">
        <f t="shared" si="2"/>
        <v>#REF!</v>
      </c>
      <c r="AO47" s="53" t="e">
        <f t="shared" si="2"/>
        <v>#REF!</v>
      </c>
      <c r="AP47" s="53" t="e">
        <f t="shared" si="2"/>
        <v>#REF!</v>
      </c>
      <c r="AQ47" s="52" t="e">
        <f t="shared" ref="AQ47:AZ55" si="3">IF(AQ$6=$I47,"◆","")</f>
        <v>#REF!</v>
      </c>
      <c r="AR47" s="53" t="e">
        <f t="shared" si="3"/>
        <v>#REF!</v>
      </c>
      <c r="AS47" s="53" t="e">
        <f t="shared" si="3"/>
        <v>#REF!</v>
      </c>
      <c r="AT47" s="53" t="e">
        <f t="shared" si="3"/>
        <v>#REF!</v>
      </c>
      <c r="AU47" s="53" t="e">
        <f t="shared" si="3"/>
        <v>#REF!</v>
      </c>
      <c r="AV47" s="52" t="e">
        <f t="shared" si="3"/>
        <v>#REF!</v>
      </c>
      <c r="AW47" s="53" t="e">
        <f t="shared" si="3"/>
        <v>#REF!</v>
      </c>
      <c r="AX47" s="53" t="e">
        <f t="shared" si="3"/>
        <v>#REF!</v>
      </c>
      <c r="AY47" s="53" t="e">
        <f t="shared" si="3"/>
        <v>#REF!</v>
      </c>
      <c r="AZ47" s="53" t="e">
        <f t="shared" si="3"/>
        <v>#REF!</v>
      </c>
      <c r="BA47" s="52" t="e">
        <f t="shared" ref="BA47:BJ55" si="4">IF(BA$6=$I47,"◆","")</f>
        <v>#REF!</v>
      </c>
      <c r="BB47" s="53" t="e">
        <f t="shared" si="4"/>
        <v>#REF!</v>
      </c>
      <c r="BC47" s="53" t="e">
        <f t="shared" si="4"/>
        <v>#REF!</v>
      </c>
      <c r="BD47" s="53" t="e">
        <f t="shared" si="4"/>
        <v>#REF!</v>
      </c>
      <c r="BE47" s="53" t="e">
        <f t="shared" si="4"/>
        <v>#REF!</v>
      </c>
      <c r="BF47" s="52" t="e">
        <f t="shared" si="4"/>
        <v>#REF!</v>
      </c>
      <c r="BG47" s="53" t="e">
        <f t="shared" si="4"/>
        <v>#REF!</v>
      </c>
      <c r="BH47" s="53" t="e">
        <f t="shared" si="4"/>
        <v>#REF!</v>
      </c>
      <c r="BI47" s="53" t="e">
        <f t="shared" si="4"/>
        <v>#REF!</v>
      </c>
      <c r="BJ47" s="53" t="e">
        <f t="shared" si="4"/>
        <v>#REF!</v>
      </c>
      <c r="BK47" s="52" t="e">
        <f t="shared" ref="BK47:BT55" si="5">IF(BK$6=$I47,"◆","")</f>
        <v>#REF!</v>
      </c>
      <c r="BL47" s="53" t="e">
        <f t="shared" si="5"/>
        <v>#REF!</v>
      </c>
      <c r="BM47" s="53" t="e">
        <f t="shared" si="5"/>
        <v>#REF!</v>
      </c>
      <c r="BN47" s="53" t="e">
        <f t="shared" si="5"/>
        <v>#REF!</v>
      </c>
      <c r="BO47" s="53" t="e">
        <f t="shared" si="5"/>
        <v>#REF!</v>
      </c>
      <c r="BP47" s="52" t="e">
        <f t="shared" si="5"/>
        <v>#REF!</v>
      </c>
      <c r="BQ47" s="53" t="e">
        <f t="shared" si="5"/>
        <v>#REF!</v>
      </c>
      <c r="BR47" s="53" t="e">
        <f t="shared" si="5"/>
        <v>#REF!</v>
      </c>
      <c r="BS47" s="53" t="e">
        <f t="shared" si="5"/>
        <v>#REF!</v>
      </c>
      <c r="BT47" s="53" t="e">
        <f t="shared" si="5"/>
        <v>#REF!</v>
      </c>
      <c r="BU47" s="52" t="e">
        <f t="shared" ref="BU47:CD55" si="6">IF(BU$6=$I47,"◆","")</f>
        <v>#REF!</v>
      </c>
      <c r="BV47" s="53" t="e">
        <f t="shared" si="6"/>
        <v>#REF!</v>
      </c>
      <c r="BW47" s="53" t="e">
        <f t="shared" si="6"/>
        <v>#REF!</v>
      </c>
      <c r="BX47" s="53" t="e">
        <f t="shared" si="6"/>
        <v>#REF!</v>
      </c>
      <c r="BY47" s="53" t="e">
        <f t="shared" si="6"/>
        <v>#REF!</v>
      </c>
      <c r="BZ47" s="52" t="e">
        <f t="shared" si="6"/>
        <v>#REF!</v>
      </c>
      <c r="CA47" s="53" t="e">
        <f t="shared" si="6"/>
        <v>#REF!</v>
      </c>
      <c r="CB47" s="53" t="e">
        <f t="shared" si="6"/>
        <v>#REF!</v>
      </c>
      <c r="CC47" s="53" t="e">
        <f t="shared" si="6"/>
        <v>#REF!</v>
      </c>
      <c r="CD47" s="53" t="e">
        <f t="shared" si="6"/>
        <v>#REF!</v>
      </c>
      <c r="CE47" s="52" t="e">
        <f t="shared" ref="CE47:CN55" si="7">IF(CE$6=$I47,"◆","")</f>
        <v>#REF!</v>
      </c>
      <c r="CF47" s="53" t="e">
        <f t="shared" si="7"/>
        <v>#REF!</v>
      </c>
      <c r="CG47" s="53" t="e">
        <f t="shared" si="7"/>
        <v>#REF!</v>
      </c>
      <c r="CH47" s="53" t="e">
        <f t="shared" si="7"/>
        <v>#REF!</v>
      </c>
      <c r="CI47" s="53" t="e">
        <f t="shared" si="7"/>
        <v>#REF!</v>
      </c>
      <c r="CJ47" s="52" t="e">
        <f t="shared" si="7"/>
        <v>#REF!</v>
      </c>
      <c r="CK47" s="53" t="e">
        <f t="shared" si="7"/>
        <v>#REF!</v>
      </c>
      <c r="CL47" s="53" t="e">
        <f t="shared" si="7"/>
        <v>#REF!</v>
      </c>
      <c r="CM47" s="53" t="e">
        <f t="shared" si="7"/>
        <v>#REF!</v>
      </c>
      <c r="CN47" s="53" t="e">
        <f t="shared" si="7"/>
        <v>#REF!</v>
      </c>
    </row>
    <row r="48" spans="1:92" ht="15" customHeight="1" x14ac:dyDescent="0.25">
      <c r="A48" s="49" t="e">
        <f>#REF!</f>
        <v>#REF!</v>
      </c>
      <c r="B48" s="38" t="e">
        <f>#REF!</f>
        <v>#REF!</v>
      </c>
      <c r="C48" s="40"/>
      <c r="D48" s="40"/>
      <c r="E48" s="40"/>
      <c r="F48" s="40"/>
      <c r="G48" s="40"/>
      <c r="H48" s="40"/>
      <c r="I48" s="50" t="e">
        <f>#REF!</f>
        <v>#REF!</v>
      </c>
      <c r="J48" s="40"/>
      <c r="K48" s="39" t="e">
        <f>#REF!</f>
        <v>#REF!</v>
      </c>
      <c r="L48" s="51" t="e">
        <f>#REF!</f>
        <v>#REF!</v>
      </c>
      <c r="M48" s="52" t="e">
        <f t="shared" si="0"/>
        <v>#REF!</v>
      </c>
      <c r="N48" s="53" t="e">
        <f t="shared" si="0"/>
        <v>#REF!</v>
      </c>
      <c r="O48" s="53" t="e">
        <f t="shared" si="0"/>
        <v>#REF!</v>
      </c>
      <c r="P48" s="53" t="e">
        <f t="shared" si="0"/>
        <v>#REF!</v>
      </c>
      <c r="Q48" s="53" t="e">
        <f t="shared" si="0"/>
        <v>#REF!</v>
      </c>
      <c r="R48" s="52" t="e">
        <f t="shared" si="0"/>
        <v>#REF!</v>
      </c>
      <c r="S48" s="53" t="e">
        <f t="shared" si="0"/>
        <v>#REF!</v>
      </c>
      <c r="T48" s="53" t="e">
        <f t="shared" si="0"/>
        <v>#REF!</v>
      </c>
      <c r="U48" s="53" t="e">
        <f t="shared" si="0"/>
        <v>#REF!</v>
      </c>
      <c r="V48" s="53" t="e">
        <f t="shared" si="0"/>
        <v>#REF!</v>
      </c>
      <c r="W48" s="52" t="e">
        <f t="shared" si="1"/>
        <v>#REF!</v>
      </c>
      <c r="X48" s="53" t="e">
        <f t="shared" si="1"/>
        <v>#REF!</v>
      </c>
      <c r="Y48" s="53" t="e">
        <f t="shared" si="1"/>
        <v>#REF!</v>
      </c>
      <c r="Z48" s="53" t="e">
        <f t="shared" si="1"/>
        <v>#REF!</v>
      </c>
      <c r="AA48" s="53" t="e">
        <f t="shared" si="1"/>
        <v>#REF!</v>
      </c>
      <c r="AB48" s="52" t="e">
        <f t="shared" si="1"/>
        <v>#REF!</v>
      </c>
      <c r="AC48" s="53" t="e">
        <f t="shared" si="1"/>
        <v>#REF!</v>
      </c>
      <c r="AD48" s="53" t="e">
        <f t="shared" si="1"/>
        <v>#REF!</v>
      </c>
      <c r="AE48" s="53" t="e">
        <f t="shared" si="1"/>
        <v>#REF!</v>
      </c>
      <c r="AF48" s="53" t="e">
        <f t="shared" si="1"/>
        <v>#REF!</v>
      </c>
      <c r="AG48" s="52" t="e">
        <f t="shared" si="2"/>
        <v>#REF!</v>
      </c>
      <c r="AH48" s="53" t="e">
        <f t="shared" si="2"/>
        <v>#REF!</v>
      </c>
      <c r="AI48" s="53" t="e">
        <f t="shared" si="2"/>
        <v>#REF!</v>
      </c>
      <c r="AJ48" s="53" t="e">
        <f t="shared" si="2"/>
        <v>#REF!</v>
      </c>
      <c r="AK48" s="53" t="e">
        <f t="shared" si="2"/>
        <v>#REF!</v>
      </c>
      <c r="AL48" s="52" t="e">
        <f t="shared" si="2"/>
        <v>#REF!</v>
      </c>
      <c r="AM48" s="53" t="e">
        <f t="shared" si="2"/>
        <v>#REF!</v>
      </c>
      <c r="AN48" s="53" t="e">
        <f t="shared" si="2"/>
        <v>#REF!</v>
      </c>
      <c r="AO48" s="53" t="e">
        <f t="shared" si="2"/>
        <v>#REF!</v>
      </c>
      <c r="AP48" s="53" t="e">
        <f t="shared" si="2"/>
        <v>#REF!</v>
      </c>
      <c r="AQ48" s="52" t="e">
        <f t="shared" si="3"/>
        <v>#REF!</v>
      </c>
      <c r="AR48" s="53" t="e">
        <f t="shared" si="3"/>
        <v>#REF!</v>
      </c>
      <c r="AS48" s="53" t="e">
        <f t="shared" si="3"/>
        <v>#REF!</v>
      </c>
      <c r="AT48" s="53" t="e">
        <f t="shared" si="3"/>
        <v>#REF!</v>
      </c>
      <c r="AU48" s="53" t="e">
        <f t="shared" si="3"/>
        <v>#REF!</v>
      </c>
      <c r="AV48" s="52" t="e">
        <f t="shared" si="3"/>
        <v>#REF!</v>
      </c>
      <c r="AW48" s="53" t="e">
        <f t="shared" si="3"/>
        <v>#REF!</v>
      </c>
      <c r="AX48" s="53" t="e">
        <f t="shared" si="3"/>
        <v>#REF!</v>
      </c>
      <c r="AY48" s="53" t="e">
        <f t="shared" si="3"/>
        <v>#REF!</v>
      </c>
      <c r="AZ48" s="53" t="e">
        <f t="shared" si="3"/>
        <v>#REF!</v>
      </c>
      <c r="BA48" s="52" t="e">
        <f t="shared" si="4"/>
        <v>#REF!</v>
      </c>
      <c r="BB48" s="53" t="e">
        <f t="shared" si="4"/>
        <v>#REF!</v>
      </c>
      <c r="BC48" s="53" t="e">
        <f t="shared" si="4"/>
        <v>#REF!</v>
      </c>
      <c r="BD48" s="53" t="e">
        <f t="shared" si="4"/>
        <v>#REF!</v>
      </c>
      <c r="BE48" s="53" t="e">
        <f t="shared" si="4"/>
        <v>#REF!</v>
      </c>
      <c r="BF48" s="52" t="e">
        <f t="shared" si="4"/>
        <v>#REF!</v>
      </c>
      <c r="BG48" s="53" t="e">
        <f t="shared" si="4"/>
        <v>#REF!</v>
      </c>
      <c r="BH48" s="53" t="e">
        <f t="shared" si="4"/>
        <v>#REF!</v>
      </c>
      <c r="BI48" s="53" t="e">
        <f t="shared" si="4"/>
        <v>#REF!</v>
      </c>
      <c r="BJ48" s="53" t="e">
        <f t="shared" si="4"/>
        <v>#REF!</v>
      </c>
      <c r="BK48" s="52" t="e">
        <f t="shared" si="5"/>
        <v>#REF!</v>
      </c>
      <c r="BL48" s="53" t="e">
        <f t="shared" si="5"/>
        <v>#REF!</v>
      </c>
      <c r="BM48" s="53" t="e">
        <f t="shared" si="5"/>
        <v>#REF!</v>
      </c>
      <c r="BN48" s="53" t="e">
        <f t="shared" si="5"/>
        <v>#REF!</v>
      </c>
      <c r="BO48" s="53" t="e">
        <f t="shared" si="5"/>
        <v>#REF!</v>
      </c>
      <c r="BP48" s="52" t="e">
        <f t="shared" si="5"/>
        <v>#REF!</v>
      </c>
      <c r="BQ48" s="53" t="e">
        <f t="shared" si="5"/>
        <v>#REF!</v>
      </c>
      <c r="BR48" s="53" t="e">
        <f t="shared" si="5"/>
        <v>#REF!</v>
      </c>
      <c r="BS48" s="53" t="e">
        <f t="shared" si="5"/>
        <v>#REF!</v>
      </c>
      <c r="BT48" s="53" t="e">
        <f t="shared" si="5"/>
        <v>#REF!</v>
      </c>
      <c r="BU48" s="52" t="e">
        <f t="shared" si="6"/>
        <v>#REF!</v>
      </c>
      <c r="BV48" s="53" t="e">
        <f t="shared" si="6"/>
        <v>#REF!</v>
      </c>
      <c r="BW48" s="53" t="e">
        <f t="shared" si="6"/>
        <v>#REF!</v>
      </c>
      <c r="BX48" s="53" t="e">
        <f t="shared" si="6"/>
        <v>#REF!</v>
      </c>
      <c r="BY48" s="53" t="e">
        <f t="shared" si="6"/>
        <v>#REF!</v>
      </c>
      <c r="BZ48" s="52" t="e">
        <f t="shared" si="6"/>
        <v>#REF!</v>
      </c>
      <c r="CA48" s="53" t="e">
        <f t="shared" si="6"/>
        <v>#REF!</v>
      </c>
      <c r="CB48" s="53" t="e">
        <f t="shared" si="6"/>
        <v>#REF!</v>
      </c>
      <c r="CC48" s="53" t="e">
        <f t="shared" si="6"/>
        <v>#REF!</v>
      </c>
      <c r="CD48" s="53" t="e">
        <f t="shared" si="6"/>
        <v>#REF!</v>
      </c>
      <c r="CE48" s="52" t="e">
        <f t="shared" si="7"/>
        <v>#REF!</v>
      </c>
      <c r="CF48" s="53" t="e">
        <f t="shared" si="7"/>
        <v>#REF!</v>
      </c>
      <c r="CG48" s="53" t="e">
        <f t="shared" si="7"/>
        <v>#REF!</v>
      </c>
      <c r="CH48" s="53" t="e">
        <f t="shared" si="7"/>
        <v>#REF!</v>
      </c>
      <c r="CI48" s="53" t="e">
        <f t="shared" si="7"/>
        <v>#REF!</v>
      </c>
      <c r="CJ48" s="52" t="e">
        <f t="shared" si="7"/>
        <v>#REF!</v>
      </c>
      <c r="CK48" s="53" t="e">
        <f t="shared" si="7"/>
        <v>#REF!</v>
      </c>
      <c r="CL48" s="53" t="e">
        <f t="shared" si="7"/>
        <v>#REF!</v>
      </c>
      <c r="CM48" s="53" t="e">
        <f t="shared" si="7"/>
        <v>#REF!</v>
      </c>
      <c r="CN48" s="53" t="e">
        <f t="shared" si="7"/>
        <v>#REF!</v>
      </c>
    </row>
    <row r="49" spans="1:92" ht="15" customHeight="1" x14ac:dyDescent="0.25">
      <c r="A49" s="49" t="e">
        <f>#REF!</f>
        <v>#REF!</v>
      </c>
      <c r="B49" s="38" t="e">
        <f>#REF!</f>
        <v>#REF!</v>
      </c>
      <c r="C49" s="40"/>
      <c r="D49" s="40"/>
      <c r="E49" s="40"/>
      <c r="F49" s="40"/>
      <c r="G49" s="40"/>
      <c r="H49" s="40"/>
      <c r="I49" s="50" t="e">
        <f>#REF!</f>
        <v>#REF!</v>
      </c>
      <c r="J49" s="40"/>
      <c r="K49" s="39" t="e">
        <f>#REF!</f>
        <v>#REF!</v>
      </c>
      <c r="L49" s="51" t="e">
        <f>#REF!</f>
        <v>#REF!</v>
      </c>
      <c r="M49" s="52" t="e">
        <f t="shared" si="0"/>
        <v>#REF!</v>
      </c>
      <c r="N49" s="53" t="e">
        <f t="shared" si="0"/>
        <v>#REF!</v>
      </c>
      <c r="O49" s="53" t="e">
        <f t="shared" si="0"/>
        <v>#REF!</v>
      </c>
      <c r="P49" s="53" t="e">
        <f t="shared" si="0"/>
        <v>#REF!</v>
      </c>
      <c r="Q49" s="53" t="e">
        <f t="shared" si="0"/>
        <v>#REF!</v>
      </c>
      <c r="R49" s="52" t="e">
        <f t="shared" si="0"/>
        <v>#REF!</v>
      </c>
      <c r="S49" s="53" t="e">
        <f t="shared" si="0"/>
        <v>#REF!</v>
      </c>
      <c r="T49" s="53" t="e">
        <f t="shared" si="0"/>
        <v>#REF!</v>
      </c>
      <c r="U49" s="53" t="e">
        <f t="shared" si="0"/>
        <v>#REF!</v>
      </c>
      <c r="V49" s="53" t="e">
        <f t="shared" si="0"/>
        <v>#REF!</v>
      </c>
      <c r="W49" s="52" t="e">
        <f t="shared" si="1"/>
        <v>#REF!</v>
      </c>
      <c r="X49" s="53" t="e">
        <f t="shared" si="1"/>
        <v>#REF!</v>
      </c>
      <c r="Y49" s="53" t="e">
        <f t="shared" si="1"/>
        <v>#REF!</v>
      </c>
      <c r="Z49" s="53" t="e">
        <f t="shared" si="1"/>
        <v>#REF!</v>
      </c>
      <c r="AA49" s="53" t="e">
        <f t="shared" si="1"/>
        <v>#REF!</v>
      </c>
      <c r="AB49" s="52" t="e">
        <f t="shared" si="1"/>
        <v>#REF!</v>
      </c>
      <c r="AC49" s="53" t="e">
        <f t="shared" si="1"/>
        <v>#REF!</v>
      </c>
      <c r="AD49" s="53" t="e">
        <f t="shared" si="1"/>
        <v>#REF!</v>
      </c>
      <c r="AE49" s="53" t="e">
        <f t="shared" si="1"/>
        <v>#REF!</v>
      </c>
      <c r="AF49" s="53" t="e">
        <f t="shared" si="1"/>
        <v>#REF!</v>
      </c>
      <c r="AG49" s="52" t="e">
        <f t="shared" si="2"/>
        <v>#REF!</v>
      </c>
      <c r="AH49" s="53" t="e">
        <f t="shared" si="2"/>
        <v>#REF!</v>
      </c>
      <c r="AI49" s="53" t="e">
        <f t="shared" si="2"/>
        <v>#REF!</v>
      </c>
      <c r="AJ49" s="53" t="e">
        <f t="shared" si="2"/>
        <v>#REF!</v>
      </c>
      <c r="AK49" s="53" t="e">
        <f t="shared" si="2"/>
        <v>#REF!</v>
      </c>
      <c r="AL49" s="52" t="e">
        <f t="shared" si="2"/>
        <v>#REF!</v>
      </c>
      <c r="AM49" s="53" t="e">
        <f t="shared" si="2"/>
        <v>#REF!</v>
      </c>
      <c r="AN49" s="53" t="e">
        <f t="shared" si="2"/>
        <v>#REF!</v>
      </c>
      <c r="AO49" s="53" t="e">
        <f t="shared" si="2"/>
        <v>#REF!</v>
      </c>
      <c r="AP49" s="53" t="e">
        <f t="shared" si="2"/>
        <v>#REF!</v>
      </c>
      <c r="AQ49" s="52" t="e">
        <f t="shared" si="3"/>
        <v>#REF!</v>
      </c>
      <c r="AR49" s="53" t="e">
        <f t="shared" si="3"/>
        <v>#REF!</v>
      </c>
      <c r="AS49" s="53" t="e">
        <f t="shared" si="3"/>
        <v>#REF!</v>
      </c>
      <c r="AT49" s="53" t="e">
        <f t="shared" si="3"/>
        <v>#REF!</v>
      </c>
      <c r="AU49" s="53" t="e">
        <f t="shared" si="3"/>
        <v>#REF!</v>
      </c>
      <c r="AV49" s="52" t="e">
        <f t="shared" si="3"/>
        <v>#REF!</v>
      </c>
      <c r="AW49" s="53" t="e">
        <f t="shared" si="3"/>
        <v>#REF!</v>
      </c>
      <c r="AX49" s="53" t="e">
        <f t="shared" si="3"/>
        <v>#REF!</v>
      </c>
      <c r="AY49" s="53" t="e">
        <f t="shared" si="3"/>
        <v>#REF!</v>
      </c>
      <c r="AZ49" s="53" t="e">
        <f t="shared" si="3"/>
        <v>#REF!</v>
      </c>
      <c r="BA49" s="52" t="e">
        <f t="shared" si="4"/>
        <v>#REF!</v>
      </c>
      <c r="BB49" s="53" t="e">
        <f t="shared" si="4"/>
        <v>#REF!</v>
      </c>
      <c r="BC49" s="53" t="e">
        <f t="shared" si="4"/>
        <v>#REF!</v>
      </c>
      <c r="BD49" s="53" t="e">
        <f t="shared" si="4"/>
        <v>#REF!</v>
      </c>
      <c r="BE49" s="53" t="e">
        <f t="shared" si="4"/>
        <v>#REF!</v>
      </c>
      <c r="BF49" s="52" t="e">
        <f t="shared" si="4"/>
        <v>#REF!</v>
      </c>
      <c r="BG49" s="53" t="e">
        <f t="shared" si="4"/>
        <v>#REF!</v>
      </c>
      <c r="BH49" s="53" t="e">
        <f t="shared" si="4"/>
        <v>#REF!</v>
      </c>
      <c r="BI49" s="53" t="e">
        <f t="shared" si="4"/>
        <v>#REF!</v>
      </c>
      <c r="BJ49" s="53" t="e">
        <f t="shared" si="4"/>
        <v>#REF!</v>
      </c>
      <c r="BK49" s="52" t="e">
        <f t="shared" si="5"/>
        <v>#REF!</v>
      </c>
      <c r="BL49" s="53" t="e">
        <f t="shared" si="5"/>
        <v>#REF!</v>
      </c>
      <c r="BM49" s="53" t="e">
        <f t="shared" si="5"/>
        <v>#REF!</v>
      </c>
      <c r="BN49" s="53" t="e">
        <f t="shared" si="5"/>
        <v>#REF!</v>
      </c>
      <c r="BO49" s="53" t="e">
        <f t="shared" si="5"/>
        <v>#REF!</v>
      </c>
      <c r="BP49" s="52" t="e">
        <f t="shared" si="5"/>
        <v>#REF!</v>
      </c>
      <c r="BQ49" s="53" t="e">
        <f t="shared" si="5"/>
        <v>#REF!</v>
      </c>
      <c r="BR49" s="53" t="e">
        <f t="shared" si="5"/>
        <v>#REF!</v>
      </c>
      <c r="BS49" s="53" t="e">
        <f t="shared" si="5"/>
        <v>#REF!</v>
      </c>
      <c r="BT49" s="53" t="e">
        <f t="shared" si="5"/>
        <v>#REF!</v>
      </c>
      <c r="BU49" s="52" t="e">
        <f t="shared" si="6"/>
        <v>#REF!</v>
      </c>
      <c r="BV49" s="53" t="e">
        <f t="shared" si="6"/>
        <v>#REF!</v>
      </c>
      <c r="BW49" s="53" t="e">
        <f t="shared" si="6"/>
        <v>#REF!</v>
      </c>
      <c r="BX49" s="53" t="e">
        <f t="shared" si="6"/>
        <v>#REF!</v>
      </c>
      <c r="BY49" s="53" t="e">
        <f t="shared" si="6"/>
        <v>#REF!</v>
      </c>
      <c r="BZ49" s="52" t="e">
        <f t="shared" si="6"/>
        <v>#REF!</v>
      </c>
      <c r="CA49" s="53" t="e">
        <f t="shared" si="6"/>
        <v>#REF!</v>
      </c>
      <c r="CB49" s="53" t="e">
        <f t="shared" si="6"/>
        <v>#REF!</v>
      </c>
      <c r="CC49" s="53" t="e">
        <f t="shared" si="6"/>
        <v>#REF!</v>
      </c>
      <c r="CD49" s="53" t="e">
        <f t="shared" si="6"/>
        <v>#REF!</v>
      </c>
      <c r="CE49" s="52" t="e">
        <f t="shared" si="7"/>
        <v>#REF!</v>
      </c>
      <c r="CF49" s="53" t="e">
        <f t="shared" si="7"/>
        <v>#REF!</v>
      </c>
      <c r="CG49" s="53" t="e">
        <f t="shared" si="7"/>
        <v>#REF!</v>
      </c>
      <c r="CH49" s="53" t="e">
        <f t="shared" si="7"/>
        <v>#REF!</v>
      </c>
      <c r="CI49" s="53" t="e">
        <f t="shared" si="7"/>
        <v>#REF!</v>
      </c>
      <c r="CJ49" s="52" t="e">
        <f t="shared" si="7"/>
        <v>#REF!</v>
      </c>
      <c r="CK49" s="53" t="e">
        <f t="shared" si="7"/>
        <v>#REF!</v>
      </c>
      <c r="CL49" s="53" t="e">
        <f t="shared" si="7"/>
        <v>#REF!</v>
      </c>
      <c r="CM49" s="53" t="e">
        <f t="shared" si="7"/>
        <v>#REF!</v>
      </c>
      <c r="CN49" s="53" t="e">
        <f t="shared" si="7"/>
        <v>#REF!</v>
      </c>
    </row>
    <row r="50" spans="1:92" ht="15" customHeight="1" x14ac:dyDescent="0.25">
      <c r="A50" s="49" t="e">
        <f>#REF!</f>
        <v>#REF!</v>
      </c>
      <c r="B50" s="38" t="e">
        <f>#REF!</f>
        <v>#REF!</v>
      </c>
      <c r="C50" s="40"/>
      <c r="D50" s="40"/>
      <c r="E50" s="40"/>
      <c r="F50" s="40"/>
      <c r="G50" s="40"/>
      <c r="H50" s="40"/>
      <c r="I50" s="50" t="e">
        <f>#REF!</f>
        <v>#REF!</v>
      </c>
      <c r="J50" s="40"/>
      <c r="K50" s="39" t="e">
        <f>#REF!</f>
        <v>#REF!</v>
      </c>
      <c r="L50" s="51" t="e">
        <f>#REF!</f>
        <v>#REF!</v>
      </c>
      <c r="M50" s="52" t="e">
        <f t="shared" si="0"/>
        <v>#REF!</v>
      </c>
      <c r="N50" s="53" t="e">
        <f t="shared" si="0"/>
        <v>#REF!</v>
      </c>
      <c r="O50" s="53" t="e">
        <f t="shared" si="0"/>
        <v>#REF!</v>
      </c>
      <c r="P50" s="53" t="e">
        <f t="shared" si="0"/>
        <v>#REF!</v>
      </c>
      <c r="Q50" s="53" t="e">
        <f t="shared" si="0"/>
        <v>#REF!</v>
      </c>
      <c r="R50" s="52" t="e">
        <f t="shared" si="0"/>
        <v>#REF!</v>
      </c>
      <c r="S50" s="53" t="e">
        <f t="shared" si="0"/>
        <v>#REF!</v>
      </c>
      <c r="T50" s="53" t="e">
        <f t="shared" si="0"/>
        <v>#REF!</v>
      </c>
      <c r="U50" s="53" t="e">
        <f t="shared" si="0"/>
        <v>#REF!</v>
      </c>
      <c r="V50" s="53" t="e">
        <f t="shared" si="0"/>
        <v>#REF!</v>
      </c>
      <c r="W50" s="52" t="e">
        <f t="shared" si="1"/>
        <v>#REF!</v>
      </c>
      <c r="X50" s="53" t="e">
        <f t="shared" si="1"/>
        <v>#REF!</v>
      </c>
      <c r="Y50" s="53" t="e">
        <f t="shared" si="1"/>
        <v>#REF!</v>
      </c>
      <c r="Z50" s="53" t="e">
        <f t="shared" si="1"/>
        <v>#REF!</v>
      </c>
      <c r="AA50" s="53" t="e">
        <f t="shared" si="1"/>
        <v>#REF!</v>
      </c>
      <c r="AB50" s="52" t="e">
        <f t="shared" si="1"/>
        <v>#REF!</v>
      </c>
      <c r="AC50" s="53" t="e">
        <f t="shared" si="1"/>
        <v>#REF!</v>
      </c>
      <c r="AD50" s="53" t="e">
        <f t="shared" si="1"/>
        <v>#REF!</v>
      </c>
      <c r="AE50" s="53" t="e">
        <f t="shared" si="1"/>
        <v>#REF!</v>
      </c>
      <c r="AF50" s="53" t="e">
        <f t="shared" si="1"/>
        <v>#REF!</v>
      </c>
      <c r="AG50" s="52" t="e">
        <f t="shared" si="2"/>
        <v>#REF!</v>
      </c>
      <c r="AH50" s="53" t="e">
        <f t="shared" si="2"/>
        <v>#REF!</v>
      </c>
      <c r="AI50" s="53" t="e">
        <f t="shared" si="2"/>
        <v>#REF!</v>
      </c>
      <c r="AJ50" s="53" t="e">
        <f t="shared" si="2"/>
        <v>#REF!</v>
      </c>
      <c r="AK50" s="53" t="e">
        <f t="shared" si="2"/>
        <v>#REF!</v>
      </c>
      <c r="AL50" s="52" t="e">
        <f t="shared" si="2"/>
        <v>#REF!</v>
      </c>
      <c r="AM50" s="53" t="e">
        <f t="shared" si="2"/>
        <v>#REF!</v>
      </c>
      <c r="AN50" s="53" t="e">
        <f t="shared" si="2"/>
        <v>#REF!</v>
      </c>
      <c r="AO50" s="53" t="e">
        <f t="shared" si="2"/>
        <v>#REF!</v>
      </c>
      <c r="AP50" s="53" t="e">
        <f t="shared" si="2"/>
        <v>#REF!</v>
      </c>
      <c r="AQ50" s="52" t="e">
        <f t="shared" si="3"/>
        <v>#REF!</v>
      </c>
      <c r="AR50" s="53" t="e">
        <f t="shared" si="3"/>
        <v>#REF!</v>
      </c>
      <c r="AS50" s="53" t="e">
        <f t="shared" si="3"/>
        <v>#REF!</v>
      </c>
      <c r="AT50" s="53" t="e">
        <f t="shared" si="3"/>
        <v>#REF!</v>
      </c>
      <c r="AU50" s="53" t="e">
        <f t="shared" si="3"/>
        <v>#REF!</v>
      </c>
      <c r="AV50" s="52" t="e">
        <f t="shared" si="3"/>
        <v>#REF!</v>
      </c>
      <c r="AW50" s="53" t="e">
        <f t="shared" si="3"/>
        <v>#REF!</v>
      </c>
      <c r="AX50" s="53" t="e">
        <f t="shared" si="3"/>
        <v>#REF!</v>
      </c>
      <c r="AY50" s="53" t="e">
        <f t="shared" si="3"/>
        <v>#REF!</v>
      </c>
      <c r="AZ50" s="53" t="e">
        <f t="shared" si="3"/>
        <v>#REF!</v>
      </c>
      <c r="BA50" s="52" t="e">
        <f t="shared" si="4"/>
        <v>#REF!</v>
      </c>
      <c r="BB50" s="53" t="e">
        <f t="shared" si="4"/>
        <v>#REF!</v>
      </c>
      <c r="BC50" s="53" t="e">
        <f t="shared" si="4"/>
        <v>#REF!</v>
      </c>
      <c r="BD50" s="53" t="e">
        <f t="shared" si="4"/>
        <v>#REF!</v>
      </c>
      <c r="BE50" s="53" t="e">
        <f t="shared" si="4"/>
        <v>#REF!</v>
      </c>
      <c r="BF50" s="52" t="e">
        <f t="shared" si="4"/>
        <v>#REF!</v>
      </c>
      <c r="BG50" s="53" t="e">
        <f t="shared" si="4"/>
        <v>#REF!</v>
      </c>
      <c r="BH50" s="53" t="e">
        <f t="shared" si="4"/>
        <v>#REF!</v>
      </c>
      <c r="BI50" s="53" t="e">
        <f t="shared" si="4"/>
        <v>#REF!</v>
      </c>
      <c r="BJ50" s="53" t="e">
        <f t="shared" si="4"/>
        <v>#REF!</v>
      </c>
      <c r="BK50" s="52" t="e">
        <f t="shared" si="5"/>
        <v>#REF!</v>
      </c>
      <c r="BL50" s="53" t="e">
        <f t="shared" si="5"/>
        <v>#REF!</v>
      </c>
      <c r="BM50" s="53" t="e">
        <f t="shared" si="5"/>
        <v>#REF!</v>
      </c>
      <c r="BN50" s="53" t="e">
        <f t="shared" si="5"/>
        <v>#REF!</v>
      </c>
      <c r="BO50" s="53" t="e">
        <f t="shared" si="5"/>
        <v>#REF!</v>
      </c>
      <c r="BP50" s="52" t="e">
        <f t="shared" si="5"/>
        <v>#REF!</v>
      </c>
      <c r="BQ50" s="53" t="e">
        <f t="shared" si="5"/>
        <v>#REF!</v>
      </c>
      <c r="BR50" s="53" t="e">
        <f t="shared" si="5"/>
        <v>#REF!</v>
      </c>
      <c r="BS50" s="53" t="e">
        <f t="shared" si="5"/>
        <v>#REF!</v>
      </c>
      <c r="BT50" s="53" t="e">
        <f t="shared" si="5"/>
        <v>#REF!</v>
      </c>
      <c r="BU50" s="52" t="e">
        <f t="shared" si="6"/>
        <v>#REF!</v>
      </c>
      <c r="BV50" s="53" t="e">
        <f t="shared" si="6"/>
        <v>#REF!</v>
      </c>
      <c r="BW50" s="53" t="e">
        <f t="shared" si="6"/>
        <v>#REF!</v>
      </c>
      <c r="BX50" s="53" t="e">
        <f t="shared" si="6"/>
        <v>#REF!</v>
      </c>
      <c r="BY50" s="53" t="e">
        <f t="shared" si="6"/>
        <v>#REF!</v>
      </c>
      <c r="BZ50" s="52" t="e">
        <f t="shared" si="6"/>
        <v>#REF!</v>
      </c>
      <c r="CA50" s="53" t="e">
        <f t="shared" si="6"/>
        <v>#REF!</v>
      </c>
      <c r="CB50" s="53" t="e">
        <f t="shared" si="6"/>
        <v>#REF!</v>
      </c>
      <c r="CC50" s="53" t="e">
        <f t="shared" si="6"/>
        <v>#REF!</v>
      </c>
      <c r="CD50" s="53" t="e">
        <f t="shared" si="6"/>
        <v>#REF!</v>
      </c>
      <c r="CE50" s="52" t="e">
        <f t="shared" si="7"/>
        <v>#REF!</v>
      </c>
      <c r="CF50" s="53" t="e">
        <f t="shared" si="7"/>
        <v>#REF!</v>
      </c>
      <c r="CG50" s="53" t="e">
        <f t="shared" si="7"/>
        <v>#REF!</v>
      </c>
      <c r="CH50" s="53" t="e">
        <f t="shared" si="7"/>
        <v>#REF!</v>
      </c>
      <c r="CI50" s="53" t="e">
        <f t="shared" si="7"/>
        <v>#REF!</v>
      </c>
      <c r="CJ50" s="52" t="e">
        <f t="shared" si="7"/>
        <v>#REF!</v>
      </c>
      <c r="CK50" s="53" t="e">
        <f t="shared" si="7"/>
        <v>#REF!</v>
      </c>
      <c r="CL50" s="53" t="e">
        <f t="shared" si="7"/>
        <v>#REF!</v>
      </c>
      <c r="CM50" s="53" t="e">
        <f t="shared" si="7"/>
        <v>#REF!</v>
      </c>
      <c r="CN50" s="53" t="e">
        <f t="shared" si="7"/>
        <v>#REF!</v>
      </c>
    </row>
    <row r="51" spans="1:92" ht="15" customHeight="1" x14ac:dyDescent="0.25">
      <c r="A51" s="49" t="e">
        <f>#REF!</f>
        <v>#REF!</v>
      </c>
      <c r="B51" s="38" t="e">
        <f>#REF!</f>
        <v>#REF!</v>
      </c>
      <c r="C51" s="40"/>
      <c r="D51" s="40"/>
      <c r="E51" s="40"/>
      <c r="F51" s="40"/>
      <c r="G51" s="40"/>
      <c r="H51" s="40"/>
      <c r="I51" s="50" t="e">
        <f>#REF!</f>
        <v>#REF!</v>
      </c>
      <c r="J51" s="40"/>
      <c r="K51" s="39" t="e">
        <f>#REF!</f>
        <v>#REF!</v>
      </c>
      <c r="L51" s="51" t="e">
        <f>#REF!</f>
        <v>#REF!</v>
      </c>
      <c r="M51" s="52" t="e">
        <f t="shared" si="0"/>
        <v>#REF!</v>
      </c>
      <c r="N51" s="53" t="e">
        <f t="shared" si="0"/>
        <v>#REF!</v>
      </c>
      <c r="O51" s="53" t="e">
        <f t="shared" si="0"/>
        <v>#REF!</v>
      </c>
      <c r="P51" s="53" t="e">
        <f t="shared" si="0"/>
        <v>#REF!</v>
      </c>
      <c r="Q51" s="53" t="e">
        <f t="shared" si="0"/>
        <v>#REF!</v>
      </c>
      <c r="R51" s="52" t="e">
        <f t="shared" si="0"/>
        <v>#REF!</v>
      </c>
      <c r="S51" s="53" t="e">
        <f t="shared" si="0"/>
        <v>#REF!</v>
      </c>
      <c r="T51" s="53" t="e">
        <f t="shared" si="0"/>
        <v>#REF!</v>
      </c>
      <c r="U51" s="53" t="e">
        <f t="shared" si="0"/>
        <v>#REF!</v>
      </c>
      <c r="V51" s="53" t="e">
        <f t="shared" si="0"/>
        <v>#REF!</v>
      </c>
      <c r="W51" s="52" t="e">
        <f t="shared" si="1"/>
        <v>#REF!</v>
      </c>
      <c r="X51" s="53" t="e">
        <f t="shared" si="1"/>
        <v>#REF!</v>
      </c>
      <c r="Y51" s="53" t="e">
        <f t="shared" si="1"/>
        <v>#REF!</v>
      </c>
      <c r="Z51" s="53" t="e">
        <f t="shared" si="1"/>
        <v>#REF!</v>
      </c>
      <c r="AA51" s="53" t="e">
        <f t="shared" si="1"/>
        <v>#REF!</v>
      </c>
      <c r="AB51" s="52" t="e">
        <f t="shared" si="1"/>
        <v>#REF!</v>
      </c>
      <c r="AC51" s="53" t="e">
        <f t="shared" si="1"/>
        <v>#REF!</v>
      </c>
      <c r="AD51" s="53" t="e">
        <f t="shared" si="1"/>
        <v>#REF!</v>
      </c>
      <c r="AE51" s="53" t="e">
        <f t="shared" si="1"/>
        <v>#REF!</v>
      </c>
      <c r="AF51" s="53" t="e">
        <f t="shared" si="1"/>
        <v>#REF!</v>
      </c>
      <c r="AG51" s="52" t="e">
        <f t="shared" si="2"/>
        <v>#REF!</v>
      </c>
      <c r="AH51" s="53" t="e">
        <f t="shared" si="2"/>
        <v>#REF!</v>
      </c>
      <c r="AI51" s="53" t="e">
        <f t="shared" si="2"/>
        <v>#REF!</v>
      </c>
      <c r="AJ51" s="53" t="e">
        <f t="shared" si="2"/>
        <v>#REF!</v>
      </c>
      <c r="AK51" s="53" t="e">
        <f t="shared" si="2"/>
        <v>#REF!</v>
      </c>
      <c r="AL51" s="52" t="e">
        <f t="shared" si="2"/>
        <v>#REF!</v>
      </c>
      <c r="AM51" s="53" t="e">
        <f t="shared" si="2"/>
        <v>#REF!</v>
      </c>
      <c r="AN51" s="53" t="e">
        <f t="shared" si="2"/>
        <v>#REF!</v>
      </c>
      <c r="AO51" s="53" t="e">
        <f t="shared" si="2"/>
        <v>#REF!</v>
      </c>
      <c r="AP51" s="53" t="e">
        <f t="shared" si="2"/>
        <v>#REF!</v>
      </c>
      <c r="AQ51" s="52" t="e">
        <f t="shared" si="3"/>
        <v>#REF!</v>
      </c>
      <c r="AR51" s="53" t="e">
        <f t="shared" si="3"/>
        <v>#REF!</v>
      </c>
      <c r="AS51" s="53" t="e">
        <f t="shared" si="3"/>
        <v>#REF!</v>
      </c>
      <c r="AT51" s="53" t="e">
        <f t="shared" si="3"/>
        <v>#REF!</v>
      </c>
      <c r="AU51" s="53" t="e">
        <f t="shared" si="3"/>
        <v>#REF!</v>
      </c>
      <c r="AV51" s="52" t="e">
        <f t="shared" si="3"/>
        <v>#REF!</v>
      </c>
      <c r="AW51" s="53" t="e">
        <f t="shared" si="3"/>
        <v>#REF!</v>
      </c>
      <c r="AX51" s="53" t="e">
        <f t="shared" si="3"/>
        <v>#REF!</v>
      </c>
      <c r="AY51" s="53" t="e">
        <f t="shared" si="3"/>
        <v>#REF!</v>
      </c>
      <c r="AZ51" s="53" t="e">
        <f t="shared" si="3"/>
        <v>#REF!</v>
      </c>
      <c r="BA51" s="52" t="e">
        <f t="shared" si="4"/>
        <v>#REF!</v>
      </c>
      <c r="BB51" s="53" t="e">
        <f t="shared" si="4"/>
        <v>#REF!</v>
      </c>
      <c r="BC51" s="53" t="e">
        <f t="shared" si="4"/>
        <v>#REF!</v>
      </c>
      <c r="BD51" s="53" t="e">
        <f t="shared" si="4"/>
        <v>#REF!</v>
      </c>
      <c r="BE51" s="53" t="e">
        <f t="shared" si="4"/>
        <v>#REF!</v>
      </c>
      <c r="BF51" s="52" t="e">
        <f t="shared" si="4"/>
        <v>#REF!</v>
      </c>
      <c r="BG51" s="53" t="e">
        <f t="shared" si="4"/>
        <v>#REF!</v>
      </c>
      <c r="BH51" s="53" t="e">
        <f t="shared" si="4"/>
        <v>#REF!</v>
      </c>
      <c r="BI51" s="53" t="e">
        <f t="shared" si="4"/>
        <v>#REF!</v>
      </c>
      <c r="BJ51" s="53" t="e">
        <f t="shared" si="4"/>
        <v>#REF!</v>
      </c>
      <c r="BK51" s="52" t="e">
        <f t="shared" si="5"/>
        <v>#REF!</v>
      </c>
      <c r="BL51" s="53" t="e">
        <f t="shared" si="5"/>
        <v>#REF!</v>
      </c>
      <c r="BM51" s="53" t="e">
        <f t="shared" si="5"/>
        <v>#REF!</v>
      </c>
      <c r="BN51" s="53" t="e">
        <f t="shared" si="5"/>
        <v>#REF!</v>
      </c>
      <c r="BO51" s="53" t="e">
        <f t="shared" si="5"/>
        <v>#REF!</v>
      </c>
      <c r="BP51" s="52" t="e">
        <f t="shared" si="5"/>
        <v>#REF!</v>
      </c>
      <c r="BQ51" s="53" t="e">
        <f t="shared" si="5"/>
        <v>#REF!</v>
      </c>
      <c r="BR51" s="53" t="e">
        <f t="shared" si="5"/>
        <v>#REF!</v>
      </c>
      <c r="BS51" s="53" t="e">
        <f t="shared" si="5"/>
        <v>#REF!</v>
      </c>
      <c r="BT51" s="53" t="e">
        <f t="shared" si="5"/>
        <v>#REF!</v>
      </c>
      <c r="BU51" s="52" t="e">
        <f t="shared" si="6"/>
        <v>#REF!</v>
      </c>
      <c r="BV51" s="53" t="e">
        <f t="shared" si="6"/>
        <v>#REF!</v>
      </c>
      <c r="BW51" s="53" t="e">
        <f t="shared" si="6"/>
        <v>#REF!</v>
      </c>
      <c r="BX51" s="53" t="e">
        <f t="shared" si="6"/>
        <v>#REF!</v>
      </c>
      <c r="BY51" s="53" t="e">
        <f t="shared" si="6"/>
        <v>#REF!</v>
      </c>
      <c r="BZ51" s="52" t="e">
        <f t="shared" si="6"/>
        <v>#REF!</v>
      </c>
      <c r="CA51" s="53" t="e">
        <f t="shared" si="6"/>
        <v>#REF!</v>
      </c>
      <c r="CB51" s="53" t="e">
        <f t="shared" si="6"/>
        <v>#REF!</v>
      </c>
      <c r="CC51" s="53" t="e">
        <f t="shared" si="6"/>
        <v>#REF!</v>
      </c>
      <c r="CD51" s="53" t="e">
        <f t="shared" si="6"/>
        <v>#REF!</v>
      </c>
      <c r="CE51" s="52" t="e">
        <f t="shared" si="7"/>
        <v>#REF!</v>
      </c>
      <c r="CF51" s="53" t="e">
        <f t="shared" si="7"/>
        <v>#REF!</v>
      </c>
      <c r="CG51" s="53" t="e">
        <f t="shared" si="7"/>
        <v>#REF!</v>
      </c>
      <c r="CH51" s="53" t="e">
        <f t="shared" si="7"/>
        <v>#REF!</v>
      </c>
      <c r="CI51" s="53" t="e">
        <f t="shared" si="7"/>
        <v>#REF!</v>
      </c>
      <c r="CJ51" s="52" t="e">
        <f t="shared" si="7"/>
        <v>#REF!</v>
      </c>
      <c r="CK51" s="53" t="e">
        <f t="shared" si="7"/>
        <v>#REF!</v>
      </c>
      <c r="CL51" s="53" t="e">
        <f t="shared" si="7"/>
        <v>#REF!</v>
      </c>
      <c r="CM51" s="53" t="e">
        <f t="shared" si="7"/>
        <v>#REF!</v>
      </c>
      <c r="CN51" s="53" t="e">
        <f t="shared" si="7"/>
        <v>#REF!</v>
      </c>
    </row>
    <row r="52" spans="1:92" ht="15" customHeight="1" x14ac:dyDescent="0.25">
      <c r="A52" s="49" t="e">
        <f>#REF!</f>
        <v>#REF!</v>
      </c>
      <c r="B52" s="38" t="e">
        <f>#REF!</f>
        <v>#REF!</v>
      </c>
      <c r="C52" s="40"/>
      <c r="D52" s="40"/>
      <c r="E52" s="40"/>
      <c r="F52" s="40"/>
      <c r="G52" s="40"/>
      <c r="H52" s="40"/>
      <c r="I52" s="50" t="e">
        <f>#REF!</f>
        <v>#REF!</v>
      </c>
      <c r="J52" s="40"/>
      <c r="K52" s="39" t="e">
        <f>#REF!</f>
        <v>#REF!</v>
      </c>
      <c r="L52" s="51" t="e">
        <f>#REF!</f>
        <v>#REF!</v>
      </c>
      <c r="M52" s="52" t="e">
        <f t="shared" si="0"/>
        <v>#REF!</v>
      </c>
      <c r="N52" s="53" t="e">
        <f t="shared" si="0"/>
        <v>#REF!</v>
      </c>
      <c r="O52" s="53" t="e">
        <f t="shared" si="0"/>
        <v>#REF!</v>
      </c>
      <c r="P52" s="53" t="e">
        <f t="shared" si="0"/>
        <v>#REF!</v>
      </c>
      <c r="Q52" s="53" t="e">
        <f t="shared" si="0"/>
        <v>#REF!</v>
      </c>
      <c r="R52" s="52" t="e">
        <f t="shared" si="0"/>
        <v>#REF!</v>
      </c>
      <c r="S52" s="53" t="e">
        <f t="shared" si="0"/>
        <v>#REF!</v>
      </c>
      <c r="T52" s="53" t="e">
        <f t="shared" si="0"/>
        <v>#REF!</v>
      </c>
      <c r="U52" s="53" t="e">
        <f t="shared" si="0"/>
        <v>#REF!</v>
      </c>
      <c r="V52" s="53" t="e">
        <f t="shared" si="0"/>
        <v>#REF!</v>
      </c>
      <c r="W52" s="52" t="e">
        <f t="shared" si="1"/>
        <v>#REF!</v>
      </c>
      <c r="X52" s="53" t="e">
        <f t="shared" si="1"/>
        <v>#REF!</v>
      </c>
      <c r="Y52" s="53" t="e">
        <f t="shared" si="1"/>
        <v>#REF!</v>
      </c>
      <c r="Z52" s="53" t="e">
        <f t="shared" si="1"/>
        <v>#REF!</v>
      </c>
      <c r="AA52" s="53" t="e">
        <f t="shared" si="1"/>
        <v>#REF!</v>
      </c>
      <c r="AB52" s="52" t="e">
        <f t="shared" si="1"/>
        <v>#REF!</v>
      </c>
      <c r="AC52" s="53" t="e">
        <f t="shared" si="1"/>
        <v>#REF!</v>
      </c>
      <c r="AD52" s="53" t="e">
        <f t="shared" si="1"/>
        <v>#REF!</v>
      </c>
      <c r="AE52" s="53" t="e">
        <f t="shared" si="1"/>
        <v>#REF!</v>
      </c>
      <c r="AF52" s="53" t="e">
        <f t="shared" si="1"/>
        <v>#REF!</v>
      </c>
      <c r="AG52" s="52" t="e">
        <f t="shared" si="2"/>
        <v>#REF!</v>
      </c>
      <c r="AH52" s="53" t="e">
        <f t="shared" si="2"/>
        <v>#REF!</v>
      </c>
      <c r="AI52" s="53" t="e">
        <f t="shared" si="2"/>
        <v>#REF!</v>
      </c>
      <c r="AJ52" s="53" t="e">
        <f t="shared" si="2"/>
        <v>#REF!</v>
      </c>
      <c r="AK52" s="53" t="e">
        <f t="shared" si="2"/>
        <v>#REF!</v>
      </c>
      <c r="AL52" s="52" t="e">
        <f t="shared" si="2"/>
        <v>#REF!</v>
      </c>
      <c r="AM52" s="53" t="e">
        <f t="shared" si="2"/>
        <v>#REF!</v>
      </c>
      <c r="AN52" s="53" t="e">
        <f t="shared" si="2"/>
        <v>#REF!</v>
      </c>
      <c r="AO52" s="53" t="e">
        <f t="shared" si="2"/>
        <v>#REF!</v>
      </c>
      <c r="AP52" s="53" t="e">
        <f t="shared" si="2"/>
        <v>#REF!</v>
      </c>
      <c r="AQ52" s="52" t="e">
        <f t="shared" si="3"/>
        <v>#REF!</v>
      </c>
      <c r="AR52" s="53" t="e">
        <f t="shared" si="3"/>
        <v>#REF!</v>
      </c>
      <c r="AS52" s="53" t="e">
        <f t="shared" si="3"/>
        <v>#REF!</v>
      </c>
      <c r="AT52" s="53" t="e">
        <f t="shared" si="3"/>
        <v>#REF!</v>
      </c>
      <c r="AU52" s="53" t="e">
        <f t="shared" si="3"/>
        <v>#REF!</v>
      </c>
      <c r="AV52" s="52" t="e">
        <f t="shared" si="3"/>
        <v>#REF!</v>
      </c>
      <c r="AW52" s="53" t="e">
        <f t="shared" si="3"/>
        <v>#REF!</v>
      </c>
      <c r="AX52" s="53" t="e">
        <f t="shared" si="3"/>
        <v>#REF!</v>
      </c>
      <c r="AY52" s="53" t="e">
        <f t="shared" si="3"/>
        <v>#REF!</v>
      </c>
      <c r="AZ52" s="53" t="e">
        <f t="shared" si="3"/>
        <v>#REF!</v>
      </c>
      <c r="BA52" s="52" t="e">
        <f t="shared" si="4"/>
        <v>#REF!</v>
      </c>
      <c r="BB52" s="53" t="e">
        <f t="shared" si="4"/>
        <v>#REF!</v>
      </c>
      <c r="BC52" s="53" t="e">
        <f t="shared" si="4"/>
        <v>#REF!</v>
      </c>
      <c r="BD52" s="53" t="e">
        <f t="shared" si="4"/>
        <v>#REF!</v>
      </c>
      <c r="BE52" s="53" t="e">
        <f t="shared" si="4"/>
        <v>#REF!</v>
      </c>
      <c r="BF52" s="52" t="e">
        <f t="shared" si="4"/>
        <v>#REF!</v>
      </c>
      <c r="BG52" s="53" t="e">
        <f t="shared" si="4"/>
        <v>#REF!</v>
      </c>
      <c r="BH52" s="53" t="e">
        <f t="shared" si="4"/>
        <v>#REF!</v>
      </c>
      <c r="BI52" s="53" t="e">
        <f t="shared" si="4"/>
        <v>#REF!</v>
      </c>
      <c r="BJ52" s="53" t="e">
        <f t="shared" si="4"/>
        <v>#REF!</v>
      </c>
      <c r="BK52" s="52" t="e">
        <f t="shared" si="5"/>
        <v>#REF!</v>
      </c>
      <c r="BL52" s="53" t="e">
        <f t="shared" si="5"/>
        <v>#REF!</v>
      </c>
      <c r="BM52" s="53" t="e">
        <f t="shared" si="5"/>
        <v>#REF!</v>
      </c>
      <c r="BN52" s="53" t="e">
        <f t="shared" si="5"/>
        <v>#REF!</v>
      </c>
      <c r="BO52" s="53" t="e">
        <f t="shared" si="5"/>
        <v>#REF!</v>
      </c>
      <c r="BP52" s="52" t="e">
        <f t="shared" si="5"/>
        <v>#REF!</v>
      </c>
      <c r="BQ52" s="53" t="e">
        <f t="shared" si="5"/>
        <v>#REF!</v>
      </c>
      <c r="BR52" s="53" t="e">
        <f t="shared" si="5"/>
        <v>#REF!</v>
      </c>
      <c r="BS52" s="53" t="e">
        <f t="shared" si="5"/>
        <v>#REF!</v>
      </c>
      <c r="BT52" s="53" t="e">
        <f t="shared" si="5"/>
        <v>#REF!</v>
      </c>
      <c r="BU52" s="52" t="e">
        <f t="shared" si="6"/>
        <v>#REF!</v>
      </c>
      <c r="BV52" s="53" t="e">
        <f t="shared" si="6"/>
        <v>#REF!</v>
      </c>
      <c r="BW52" s="53" t="e">
        <f t="shared" si="6"/>
        <v>#REF!</v>
      </c>
      <c r="BX52" s="53" t="e">
        <f t="shared" si="6"/>
        <v>#REF!</v>
      </c>
      <c r="BY52" s="53" t="e">
        <f t="shared" si="6"/>
        <v>#REF!</v>
      </c>
      <c r="BZ52" s="52" t="e">
        <f t="shared" si="6"/>
        <v>#REF!</v>
      </c>
      <c r="CA52" s="53" t="e">
        <f t="shared" si="6"/>
        <v>#REF!</v>
      </c>
      <c r="CB52" s="53" t="e">
        <f t="shared" si="6"/>
        <v>#REF!</v>
      </c>
      <c r="CC52" s="53" t="e">
        <f t="shared" si="6"/>
        <v>#REF!</v>
      </c>
      <c r="CD52" s="53" t="e">
        <f t="shared" si="6"/>
        <v>#REF!</v>
      </c>
      <c r="CE52" s="52" t="e">
        <f t="shared" si="7"/>
        <v>#REF!</v>
      </c>
      <c r="CF52" s="53" t="e">
        <f t="shared" si="7"/>
        <v>#REF!</v>
      </c>
      <c r="CG52" s="53" t="e">
        <f t="shared" si="7"/>
        <v>#REF!</v>
      </c>
      <c r="CH52" s="53" t="e">
        <f t="shared" si="7"/>
        <v>#REF!</v>
      </c>
      <c r="CI52" s="53" t="e">
        <f t="shared" si="7"/>
        <v>#REF!</v>
      </c>
      <c r="CJ52" s="52" t="e">
        <f t="shared" si="7"/>
        <v>#REF!</v>
      </c>
      <c r="CK52" s="53" t="e">
        <f t="shared" si="7"/>
        <v>#REF!</v>
      </c>
      <c r="CL52" s="53" t="e">
        <f t="shared" si="7"/>
        <v>#REF!</v>
      </c>
      <c r="CM52" s="53" t="e">
        <f t="shared" si="7"/>
        <v>#REF!</v>
      </c>
      <c r="CN52" s="53" t="e">
        <f t="shared" si="7"/>
        <v>#REF!</v>
      </c>
    </row>
    <row r="53" spans="1:92" ht="15" customHeight="1" x14ac:dyDescent="0.25">
      <c r="A53" s="49" t="e">
        <f>#REF!</f>
        <v>#REF!</v>
      </c>
      <c r="B53" s="38" t="e">
        <f>#REF!</f>
        <v>#REF!</v>
      </c>
      <c r="C53" s="40"/>
      <c r="D53" s="40"/>
      <c r="E53" s="40"/>
      <c r="F53" s="40"/>
      <c r="G53" s="40"/>
      <c r="H53" s="40"/>
      <c r="I53" s="50" t="e">
        <f>#REF!</f>
        <v>#REF!</v>
      </c>
      <c r="J53" s="40"/>
      <c r="K53" s="39" t="e">
        <f>#REF!</f>
        <v>#REF!</v>
      </c>
      <c r="L53" s="51" t="e">
        <f>#REF!</f>
        <v>#REF!</v>
      </c>
      <c r="M53" s="52" t="e">
        <f t="shared" si="0"/>
        <v>#REF!</v>
      </c>
      <c r="N53" s="53" t="e">
        <f t="shared" si="0"/>
        <v>#REF!</v>
      </c>
      <c r="O53" s="53" t="e">
        <f t="shared" si="0"/>
        <v>#REF!</v>
      </c>
      <c r="P53" s="53" t="e">
        <f t="shared" si="0"/>
        <v>#REF!</v>
      </c>
      <c r="Q53" s="53" t="e">
        <f t="shared" si="0"/>
        <v>#REF!</v>
      </c>
      <c r="R53" s="52" t="e">
        <f t="shared" si="0"/>
        <v>#REF!</v>
      </c>
      <c r="S53" s="53" t="e">
        <f t="shared" si="0"/>
        <v>#REF!</v>
      </c>
      <c r="T53" s="53" t="e">
        <f t="shared" si="0"/>
        <v>#REF!</v>
      </c>
      <c r="U53" s="53" t="e">
        <f t="shared" si="0"/>
        <v>#REF!</v>
      </c>
      <c r="V53" s="53" t="e">
        <f t="shared" si="0"/>
        <v>#REF!</v>
      </c>
      <c r="W53" s="52" t="e">
        <f t="shared" si="1"/>
        <v>#REF!</v>
      </c>
      <c r="X53" s="53" t="e">
        <f t="shared" si="1"/>
        <v>#REF!</v>
      </c>
      <c r="Y53" s="53" t="e">
        <f t="shared" si="1"/>
        <v>#REF!</v>
      </c>
      <c r="Z53" s="53" t="e">
        <f t="shared" si="1"/>
        <v>#REF!</v>
      </c>
      <c r="AA53" s="53" t="e">
        <f t="shared" si="1"/>
        <v>#REF!</v>
      </c>
      <c r="AB53" s="52" t="e">
        <f t="shared" si="1"/>
        <v>#REF!</v>
      </c>
      <c r="AC53" s="53" t="e">
        <f t="shared" si="1"/>
        <v>#REF!</v>
      </c>
      <c r="AD53" s="53" t="e">
        <f t="shared" si="1"/>
        <v>#REF!</v>
      </c>
      <c r="AE53" s="53" t="e">
        <f t="shared" si="1"/>
        <v>#REF!</v>
      </c>
      <c r="AF53" s="53" t="e">
        <f t="shared" si="1"/>
        <v>#REF!</v>
      </c>
      <c r="AG53" s="52" t="e">
        <f t="shared" si="2"/>
        <v>#REF!</v>
      </c>
      <c r="AH53" s="53" t="e">
        <f t="shared" si="2"/>
        <v>#REF!</v>
      </c>
      <c r="AI53" s="53" t="e">
        <f t="shared" si="2"/>
        <v>#REF!</v>
      </c>
      <c r="AJ53" s="53" t="e">
        <f t="shared" si="2"/>
        <v>#REF!</v>
      </c>
      <c r="AK53" s="53" t="e">
        <f t="shared" si="2"/>
        <v>#REF!</v>
      </c>
      <c r="AL53" s="52" t="e">
        <f t="shared" si="2"/>
        <v>#REF!</v>
      </c>
      <c r="AM53" s="53" t="e">
        <f t="shared" si="2"/>
        <v>#REF!</v>
      </c>
      <c r="AN53" s="53" t="e">
        <f t="shared" si="2"/>
        <v>#REF!</v>
      </c>
      <c r="AO53" s="53" t="e">
        <f t="shared" si="2"/>
        <v>#REF!</v>
      </c>
      <c r="AP53" s="53" t="e">
        <f t="shared" si="2"/>
        <v>#REF!</v>
      </c>
      <c r="AQ53" s="52" t="e">
        <f t="shared" si="3"/>
        <v>#REF!</v>
      </c>
      <c r="AR53" s="53" t="e">
        <f t="shared" si="3"/>
        <v>#REF!</v>
      </c>
      <c r="AS53" s="53" t="e">
        <f t="shared" si="3"/>
        <v>#REF!</v>
      </c>
      <c r="AT53" s="53" t="e">
        <f t="shared" si="3"/>
        <v>#REF!</v>
      </c>
      <c r="AU53" s="53" t="e">
        <f t="shared" si="3"/>
        <v>#REF!</v>
      </c>
      <c r="AV53" s="52" t="e">
        <f t="shared" si="3"/>
        <v>#REF!</v>
      </c>
      <c r="AW53" s="53" t="e">
        <f t="shared" si="3"/>
        <v>#REF!</v>
      </c>
      <c r="AX53" s="53" t="e">
        <f t="shared" si="3"/>
        <v>#REF!</v>
      </c>
      <c r="AY53" s="53" t="e">
        <f t="shared" si="3"/>
        <v>#REF!</v>
      </c>
      <c r="AZ53" s="53" t="e">
        <f t="shared" si="3"/>
        <v>#REF!</v>
      </c>
      <c r="BA53" s="52" t="e">
        <f t="shared" si="4"/>
        <v>#REF!</v>
      </c>
      <c r="BB53" s="53" t="e">
        <f t="shared" si="4"/>
        <v>#REF!</v>
      </c>
      <c r="BC53" s="53" t="e">
        <f t="shared" si="4"/>
        <v>#REF!</v>
      </c>
      <c r="BD53" s="53" t="e">
        <f t="shared" si="4"/>
        <v>#REF!</v>
      </c>
      <c r="BE53" s="53" t="e">
        <f t="shared" si="4"/>
        <v>#REF!</v>
      </c>
      <c r="BF53" s="52" t="e">
        <f t="shared" si="4"/>
        <v>#REF!</v>
      </c>
      <c r="BG53" s="53" t="e">
        <f t="shared" si="4"/>
        <v>#REF!</v>
      </c>
      <c r="BH53" s="53" t="e">
        <f t="shared" si="4"/>
        <v>#REF!</v>
      </c>
      <c r="BI53" s="53" t="e">
        <f t="shared" si="4"/>
        <v>#REF!</v>
      </c>
      <c r="BJ53" s="53" t="e">
        <f t="shared" si="4"/>
        <v>#REF!</v>
      </c>
      <c r="BK53" s="52" t="e">
        <f t="shared" si="5"/>
        <v>#REF!</v>
      </c>
      <c r="BL53" s="53" t="e">
        <f t="shared" si="5"/>
        <v>#REF!</v>
      </c>
      <c r="BM53" s="53" t="e">
        <f t="shared" si="5"/>
        <v>#REF!</v>
      </c>
      <c r="BN53" s="53" t="e">
        <f t="shared" si="5"/>
        <v>#REF!</v>
      </c>
      <c r="BO53" s="53" t="e">
        <f t="shared" si="5"/>
        <v>#REF!</v>
      </c>
      <c r="BP53" s="52" t="e">
        <f t="shared" si="5"/>
        <v>#REF!</v>
      </c>
      <c r="BQ53" s="53" t="e">
        <f t="shared" si="5"/>
        <v>#REF!</v>
      </c>
      <c r="BR53" s="53" t="e">
        <f t="shared" si="5"/>
        <v>#REF!</v>
      </c>
      <c r="BS53" s="53" t="e">
        <f t="shared" si="5"/>
        <v>#REF!</v>
      </c>
      <c r="BT53" s="53" t="e">
        <f t="shared" si="5"/>
        <v>#REF!</v>
      </c>
      <c r="BU53" s="52" t="e">
        <f t="shared" si="6"/>
        <v>#REF!</v>
      </c>
      <c r="BV53" s="53" t="e">
        <f t="shared" si="6"/>
        <v>#REF!</v>
      </c>
      <c r="BW53" s="53" t="e">
        <f t="shared" si="6"/>
        <v>#REF!</v>
      </c>
      <c r="BX53" s="53" t="e">
        <f t="shared" si="6"/>
        <v>#REF!</v>
      </c>
      <c r="BY53" s="53" t="e">
        <f t="shared" si="6"/>
        <v>#REF!</v>
      </c>
      <c r="BZ53" s="52" t="e">
        <f t="shared" si="6"/>
        <v>#REF!</v>
      </c>
      <c r="CA53" s="53" t="e">
        <f t="shared" si="6"/>
        <v>#REF!</v>
      </c>
      <c r="CB53" s="53" t="e">
        <f t="shared" si="6"/>
        <v>#REF!</v>
      </c>
      <c r="CC53" s="53" t="e">
        <f t="shared" si="6"/>
        <v>#REF!</v>
      </c>
      <c r="CD53" s="53" t="e">
        <f t="shared" si="6"/>
        <v>#REF!</v>
      </c>
      <c r="CE53" s="52" t="e">
        <f t="shared" si="7"/>
        <v>#REF!</v>
      </c>
      <c r="CF53" s="53" t="e">
        <f t="shared" si="7"/>
        <v>#REF!</v>
      </c>
      <c r="CG53" s="53" t="e">
        <f t="shared" si="7"/>
        <v>#REF!</v>
      </c>
      <c r="CH53" s="53" t="e">
        <f t="shared" si="7"/>
        <v>#REF!</v>
      </c>
      <c r="CI53" s="53" t="e">
        <f t="shared" si="7"/>
        <v>#REF!</v>
      </c>
      <c r="CJ53" s="52" t="e">
        <f t="shared" si="7"/>
        <v>#REF!</v>
      </c>
      <c r="CK53" s="53" t="e">
        <f t="shared" si="7"/>
        <v>#REF!</v>
      </c>
      <c r="CL53" s="53" t="e">
        <f t="shared" si="7"/>
        <v>#REF!</v>
      </c>
      <c r="CM53" s="53" t="e">
        <f t="shared" si="7"/>
        <v>#REF!</v>
      </c>
      <c r="CN53" s="53" t="e">
        <f t="shared" si="7"/>
        <v>#REF!</v>
      </c>
    </row>
    <row r="54" spans="1:92" ht="15" customHeight="1" x14ac:dyDescent="0.25">
      <c r="A54" s="49" t="e">
        <f>#REF!</f>
        <v>#REF!</v>
      </c>
      <c r="B54" s="38" t="e">
        <f>#REF!</f>
        <v>#REF!</v>
      </c>
      <c r="C54" s="40"/>
      <c r="D54" s="40"/>
      <c r="E54" s="40"/>
      <c r="F54" s="40"/>
      <c r="G54" s="40"/>
      <c r="H54" s="40"/>
      <c r="I54" s="50" t="e">
        <f>#REF!</f>
        <v>#REF!</v>
      </c>
      <c r="J54" s="40"/>
      <c r="K54" s="39" t="e">
        <f>#REF!</f>
        <v>#REF!</v>
      </c>
      <c r="L54" s="51" t="e">
        <f>#REF!</f>
        <v>#REF!</v>
      </c>
      <c r="M54" s="52" t="e">
        <f t="shared" si="0"/>
        <v>#REF!</v>
      </c>
      <c r="N54" s="53" t="e">
        <f t="shared" si="0"/>
        <v>#REF!</v>
      </c>
      <c r="O54" s="53" t="e">
        <f t="shared" si="0"/>
        <v>#REF!</v>
      </c>
      <c r="P54" s="53" t="e">
        <f t="shared" si="0"/>
        <v>#REF!</v>
      </c>
      <c r="Q54" s="53" t="e">
        <f t="shared" si="0"/>
        <v>#REF!</v>
      </c>
      <c r="R54" s="52" t="e">
        <f t="shared" si="0"/>
        <v>#REF!</v>
      </c>
      <c r="S54" s="53" t="e">
        <f t="shared" si="0"/>
        <v>#REF!</v>
      </c>
      <c r="T54" s="53" t="e">
        <f t="shared" si="0"/>
        <v>#REF!</v>
      </c>
      <c r="U54" s="53" t="e">
        <f t="shared" si="0"/>
        <v>#REF!</v>
      </c>
      <c r="V54" s="53" t="e">
        <f t="shared" si="0"/>
        <v>#REF!</v>
      </c>
      <c r="W54" s="52" t="e">
        <f t="shared" si="1"/>
        <v>#REF!</v>
      </c>
      <c r="X54" s="53" t="e">
        <f t="shared" si="1"/>
        <v>#REF!</v>
      </c>
      <c r="Y54" s="53" t="e">
        <f t="shared" si="1"/>
        <v>#REF!</v>
      </c>
      <c r="Z54" s="53" t="e">
        <f t="shared" si="1"/>
        <v>#REF!</v>
      </c>
      <c r="AA54" s="53" t="e">
        <f t="shared" si="1"/>
        <v>#REF!</v>
      </c>
      <c r="AB54" s="52" t="e">
        <f t="shared" si="1"/>
        <v>#REF!</v>
      </c>
      <c r="AC54" s="53" t="e">
        <f t="shared" si="1"/>
        <v>#REF!</v>
      </c>
      <c r="AD54" s="53" t="e">
        <f t="shared" si="1"/>
        <v>#REF!</v>
      </c>
      <c r="AE54" s="53" t="e">
        <f t="shared" si="1"/>
        <v>#REF!</v>
      </c>
      <c r="AF54" s="53" t="e">
        <f t="shared" si="1"/>
        <v>#REF!</v>
      </c>
      <c r="AG54" s="52" t="e">
        <f t="shared" si="2"/>
        <v>#REF!</v>
      </c>
      <c r="AH54" s="53" t="e">
        <f t="shared" si="2"/>
        <v>#REF!</v>
      </c>
      <c r="AI54" s="53" t="e">
        <f t="shared" si="2"/>
        <v>#REF!</v>
      </c>
      <c r="AJ54" s="53" t="e">
        <f t="shared" si="2"/>
        <v>#REF!</v>
      </c>
      <c r="AK54" s="53" t="e">
        <f t="shared" si="2"/>
        <v>#REF!</v>
      </c>
      <c r="AL54" s="52" t="e">
        <f t="shared" si="2"/>
        <v>#REF!</v>
      </c>
      <c r="AM54" s="53" t="e">
        <f t="shared" si="2"/>
        <v>#REF!</v>
      </c>
      <c r="AN54" s="53" t="e">
        <f t="shared" si="2"/>
        <v>#REF!</v>
      </c>
      <c r="AO54" s="53" t="e">
        <f t="shared" si="2"/>
        <v>#REF!</v>
      </c>
      <c r="AP54" s="53" t="e">
        <f t="shared" si="2"/>
        <v>#REF!</v>
      </c>
      <c r="AQ54" s="52" t="e">
        <f t="shared" si="3"/>
        <v>#REF!</v>
      </c>
      <c r="AR54" s="53" t="e">
        <f t="shared" si="3"/>
        <v>#REF!</v>
      </c>
      <c r="AS54" s="53" t="e">
        <f t="shared" si="3"/>
        <v>#REF!</v>
      </c>
      <c r="AT54" s="53" t="e">
        <f t="shared" si="3"/>
        <v>#REF!</v>
      </c>
      <c r="AU54" s="53" t="e">
        <f t="shared" si="3"/>
        <v>#REF!</v>
      </c>
      <c r="AV54" s="52" t="e">
        <f t="shared" si="3"/>
        <v>#REF!</v>
      </c>
      <c r="AW54" s="53" t="e">
        <f t="shared" si="3"/>
        <v>#REF!</v>
      </c>
      <c r="AX54" s="53" t="e">
        <f t="shared" si="3"/>
        <v>#REF!</v>
      </c>
      <c r="AY54" s="53" t="e">
        <f t="shared" si="3"/>
        <v>#REF!</v>
      </c>
      <c r="AZ54" s="53" t="e">
        <f t="shared" si="3"/>
        <v>#REF!</v>
      </c>
      <c r="BA54" s="52" t="e">
        <f t="shared" si="4"/>
        <v>#REF!</v>
      </c>
      <c r="BB54" s="53" t="e">
        <f t="shared" si="4"/>
        <v>#REF!</v>
      </c>
      <c r="BC54" s="53" t="e">
        <f t="shared" si="4"/>
        <v>#REF!</v>
      </c>
      <c r="BD54" s="53" t="e">
        <f t="shared" si="4"/>
        <v>#REF!</v>
      </c>
      <c r="BE54" s="53" t="e">
        <f t="shared" si="4"/>
        <v>#REF!</v>
      </c>
      <c r="BF54" s="52" t="e">
        <f t="shared" si="4"/>
        <v>#REF!</v>
      </c>
      <c r="BG54" s="53" t="e">
        <f t="shared" si="4"/>
        <v>#REF!</v>
      </c>
      <c r="BH54" s="53" t="e">
        <f t="shared" si="4"/>
        <v>#REF!</v>
      </c>
      <c r="BI54" s="53" t="e">
        <f t="shared" si="4"/>
        <v>#REF!</v>
      </c>
      <c r="BJ54" s="53" t="e">
        <f t="shared" si="4"/>
        <v>#REF!</v>
      </c>
      <c r="BK54" s="52" t="e">
        <f t="shared" si="5"/>
        <v>#REF!</v>
      </c>
      <c r="BL54" s="53" t="e">
        <f t="shared" si="5"/>
        <v>#REF!</v>
      </c>
      <c r="BM54" s="53" t="e">
        <f t="shared" si="5"/>
        <v>#REF!</v>
      </c>
      <c r="BN54" s="53" t="e">
        <f t="shared" si="5"/>
        <v>#REF!</v>
      </c>
      <c r="BO54" s="53" t="e">
        <f t="shared" si="5"/>
        <v>#REF!</v>
      </c>
      <c r="BP54" s="52" t="e">
        <f t="shared" si="5"/>
        <v>#REF!</v>
      </c>
      <c r="BQ54" s="53" t="e">
        <f t="shared" si="5"/>
        <v>#REF!</v>
      </c>
      <c r="BR54" s="53" t="e">
        <f t="shared" si="5"/>
        <v>#REF!</v>
      </c>
      <c r="BS54" s="53" t="e">
        <f t="shared" si="5"/>
        <v>#REF!</v>
      </c>
      <c r="BT54" s="53" t="e">
        <f t="shared" si="5"/>
        <v>#REF!</v>
      </c>
      <c r="BU54" s="52" t="e">
        <f t="shared" si="6"/>
        <v>#REF!</v>
      </c>
      <c r="BV54" s="53" t="e">
        <f t="shared" si="6"/>
        <v>#REF!</v>
      </c>
      <c r="BW54" s="53" t="e">
        <f t="shared" si="6"/>
        <v>#REF!</v>
      </c>
      <c r="BX54" s="53" t="e">
        <f t="shared" si="6"/>
        <v>#REF!</v>
      </c>
      <c r="BY54" s="53" t="e">
        <f t="shared" si="6"/>
        <v>#REF!</v>
      </c>
      <c r="BZ54" s="52" t="e">
        <f t="shared" si="6"/>
        <v>#REF!</v>
      </c>
      <c r="CA54" s="53" t="e">
        <f t="shared" si="6"/>
        <v>#REF!</v>
      </c>
      <c r="CB54" s="53" t="e">
        <f t="shared" si="6"/>
        <v>#REF!</v>
      </c>
      <c r="CC54" s="53" t="e">
        <f t="shared" si="6"/>
        <v>#REF!</v>
      </c>
      <c r="CD54" s="53" t="e">
        <f t="shared" si="6"/>
        <v>#REF!</v>
      </c>
      <c r="CE54" s="52" t="e">
        <f t="shared" si="7"/>
        <v>#REF!</v>
      </c>
      <c r="CF54" s="53" t="e">
        <f t="shared" si="7"/>
        <v>#REF!</v>
      </c>
      <c r="CG54" s="53" t="e">
        <f t="shared" si="7"/>
        <v>#REF!</v>
      </c>
      <c r="CH54" s="53" t="e">
        <f t="shared" si="7"/>
        <v>#REF!</v>
      </c>
      <c r="CI54" s="53" t="e">
        <f t="shared" si="7"/>
        <v>#REF!</v>
      </c>
      <c r="CJ54" s="52" t="e">
        <f t="shared" si="7"/>
        <v>#REF!</v>
      </c>
      <c r="CK54" s="53" t="e">
        <f t="shared" si="7"/>
        <v>#REF!</v>
      </c>
      <c r="CL54" s="53" t="e">
        <f t="shared" si="7"/>
        <v>#REF!</v>
      </c>
      <c r="CM54" s="53" t="e">
        <f t="shared" si="7"/>
        <v>#REF!</v>
      </c>
      <c r="CN54" s="53" t="e">
        <f t="shared" si="7"/>
        <v>#REF!</v>
      </c>
    </row>
    <row r="55" spans="1:92" ht="15" customHeight="1" x14ac:dyDescent="0.25">
      <c r="A55" s="54" t="e">
        <f>#REF!</f>
        <v>#REF!</v>
      </c>
      <c r="B55" s="55" t="e">
        <f>#REF!</f>
        <v>#REF!</v>
      </c>
      <c r="C55" s="56"/>
      <c r="D55" s="56"/>
      <c r="E55" s="56"/>
      <c r="F55" s="56"/>
      <c r="G55" s="56"/>
      <c r="H55" s="56"/>
      <c r="I55" s="57" t="e">
        <f>#REF!</f>
        <v>#REF!</v>
      </c>
      <c r="J55" s="56"/>
      <c r="K55" s="58" t="e">
        <f>#REF!</f>
        <v>#REF!</v>
      </c>
      <c r="L55" s="59" t="e">
        <f>#REF!</f>
        <v>#REF!</v>
      </c>
      <c r="M55" s="60" t="e">
        <f t="shared" si="0"/>
        <v>#REF!</v>
      </c>
      <c r="N55" s="61" t="e">
        <f t="shared" si="0"/>
        <v>#REF!</v>
      </c>
      <c r="O55" s="61" t="e">
        <f t="shared" si="0"/>
        <v>#REF!</v>
      </c>
      <c r="P55" s="61" t="e">
        <f t="shared" si="0"/>
        <v>#REF!</v>
      </c>
      <c r="Q55" s="61" t="e">
        <f t="shared" si="0"/>
        <v>#REF!</v>
      </c>
      <c r="R55" s="60" t="e">
        <f t="shared" si="0"/>
        <v>#REF!</v>
      </c>
      <c r="S55" s="61" t="e">
        <f t="shared" si="0"/>
        <v>#REF!</v>
      </c>
      <c r="T55" s="61" t="e">
        <f t="shared" si="0"/>
        <v>#REF!</v>
      </c>
      <c r="U55" s="61" t="e">
        <f t="shared" si="0"/>
        <v>#REF!</v>
      </c>
      <c r="V55" s="61" t="e">
        <f t="shared" si="0"/>
        <v>#REF!</v>
      </c>
      <c r="W55" s="60" t="e">
        <f t="shared" si="1"/>
        <v>#REF!</v>
      </c>
      <c r="X55" s="61" t="e">
        <f t="shared" si="1"/>
        <v>#REF!</v>
      </c>
      <c r="Y55" s="61" t="e">
        <f t="shared" si="1"/>
        <v>#REF!</v>
      </c>
      <c r="Z55" s="61" t="e">
        <f t="shared" si="1"/>
        <v>#REF!</v>
      </c>
      <c r="AA55" s="61" t="e">
        <f t="shared" si="1"/>
        <v>#REF!</v>
      </c>
      <c r="AB55" s="60" t="e">
        <f t="shared" si="1"/>
        <v>#REF!</v>
      </c>
      <c r="AC55" s="61" t="e">
        <f t="shared" si="1"/>
        <v>#REF!</v>
      </c>
      <c r="AD55" s="61" t="e">
        <f t="shared" si="1"/>
        <v>#REF!</v>
      </c>
      <c r="AE55" s="61" t="e">
        <f t="shared" si="1"/>
        <v>#REF!</v>
      </c>
      <c r="AF55" s="61" t="e">
        <f t="shared" si="1"/>
        <v>#REF!</v>
      </c>
      <c r="AG55" s="60" t="e">
        <f t="shared" si="2"/>
        <v>#REF!</v>
      </c>
      <c r="AH55" s="61" t="e">
        <f t="shared" si="2"/>
        <v>#REF!</v>
      </c>
      <c r="AI55" s="61" t="e">
        <f t="shared" si="2"/>
        <v>#REF!</v>
      </c>
      <c r="AJ55" s="61" t="e">
        <f t="shared" si="2"/>
        <v>#REF!</v>
      </c>
      <c r="AK55" s="61" t="e">
        <f t="shared" si="2"/>
        <v>#REF!</v>
      </c>
      <c r="AL55" s="60" t="e">
        <f t="shared" si="2"/>
        <v>#REF!</v>
      </c>
      <c r="AM55" s="61" t="e">
        <f t="shared" si="2"/>
        <v>#REF!</v>
      </c>
      <c r="AN55" s="61" t="e">
        <f t="shared" si="2"/>
        <v>#REF!</v>
      </c>
      <c r="AO55" s="61" t="e">
        <f t="shared" si="2"/>
        <v>#REF!</v>
      </c>
      <c r="AP55" s="61" t="e">
        <f t="shared" si="2"/>
        <v>#REF!</v>
      </c>
      <c r="AQ55" s="60" t="e">
        <f t="shared" si="3"/>
        <v>#REF!</v>
      </c>
      <c r="AR55" s="61" t="e">
        <f t="shared" si="3"/>
        <v>#REF!</v>
      </c>
      <c r="AS55" s="61" t="e">
        <f t="shared" si="3"/>
        <v>#REF!</v>
      </c>
      <c r="AT55" s="61" t="e">
        <f t="shared" si="3"/>
        <v>#REF!</v>
      </c>
      <c r="AU55" s="61" t="e">
        <f t="shared" si="3"/>
        <v>#REF!</v>
      </c>
      <c r="AV55" s="60" t="e">
        <f t="shared" si="3"/>
        <v>#REF!</v>
      </c>
      <c r="AW55" s="61" t="e">
        <f t="shared" si="3"/>
        <v>#REF!</v>
      </c>
      <c r="AX55" s="61" t="e">
        <f t="shared" si="3"/>
        <v>#REF!</v>
      </c>
      <c r="AY55" s="61" t="e">
        <f t="shared" si="3"/>
        <v>#REF!</v>
      </c>
      <c r="AZ55" s="61" t="e">
        <f t="shared" si="3"/>
        <v>#REF!</v>
      </c>
      <c r="BA55" s="60" t="e">
        <f t="shared" si="4"/>
        <v>#REF!</v>
      </c>
      <c r="BB55" s="61" t="e">
        <f t="shared" si="4"/>
        <v>#REF!</v>
      </c>
      <c r="BC55" s="61" t="e">
        <f t="shared" si="4"/>
        <v>#REF!</v>
      </c>
      <c r="BD55" s="61" t="e">
        <f t="shared" si="4"/>
        <v>#REF!</v>
      </c>
      <c r="BE55" s="61" t="e">
        <f t="shared" si="4"/>
        <v>#REF!</v>
      </c>
      <c r="BF55" s="60" t="e">
        <f t="shared" si="4"/>
        <v>#REF!</v>
      </c>
      <c r="BG55" s="61" t="e">
        <f t="shared" si="4"/>
        <v>#REF!</v>
      </c>
      <c r="BH55" s="61" t="e">
        <f t="shared" si="4"/>
        <v>#REF!</v>
      </c>
      <c r="BI55" s="61" t="e">
        <f t="shared" si="4"/>
        <v>#REF!</v>
      </c>
      <c r="BJ55" s="61" t="e">
        <f t="shared" si="4"/>
        <v>#REF!</v>
      </c>
      <c r="BK55" s="60" t="e">
        <f t="shared" si="5"/>
        <v>#REF!</v>
      </c>
      <c r="BL55" s="61" t="e">
        <f t="shared" si="5"/>
        <v>#REF!</v>
      </c>
      <c r="BM55" s="61" t="e">
        <f t="shared" si="5"/>
        <v>#REF!</v>
      </c>
      <c r="BN55" s="61" t="e">
        <f t="shared" si="5"/>
        <v>#REF!</v>
      </c>
      <c r="BO55" s="61" t="e">
        <f t="shared" si="5"/>
        <v>#REF!</v>
      </c>
      <c r="BP55" s="60" t="e">
        <f t="shared" si="5"/>
        <v>#REF!</v>
      </c>
      <c r="BQ55" s="61" t="e">
        <f t="shared" si="5"/>
        <v>#REF!</v>
      </c>
      <c r="BR55" s="61" t="e">
        <f t="shared" si="5"/>
        <v>#REF!</v>
      </c>
      <c r="BS55" s="61" t="e">
        <f t="shared" si="5"/>
        <v>#REF!</v>
      </c>
      <c r="BT55" s="61" t="e">
        <f t="shared" si="5"/>
        <v>#REF!</v>
      </c>
      <c r="BU55" s="60" t="e">
        <f t="shared" si="6"/>
        <v>#REF!</v>
      </c>
      <c r="BV55" s="61" t="e">
        <f t="shared" si="6"/>
        <v>#REF!</v>
      </c>
      <c r="BW55" s="61" t="e">
        <f t="shared" si="6"/>
        <v>#REF!</v>
      </c>
      <c r="BX55" s="61" t="e">
        <f t="shared" si="6"/>
        <v>#REF!</v>
      </c>
      <c r="BY55" s="61" t="e">
        <f t="shared" si="6"/>
        <v>#REF!</v>
      </c>
      <c r="BZ55" s="60" t="e">
        <f t="shared" si="6"/>
        <v>#REF!</v>
      </c>
      <c r="CA55" s="61" t="e">
        <f t="shared" si="6"/>
        <v>#REF!</v>
      </c>
      <c r="CB55" s="61" t="e">
        <f t="shared" si="6"/>
        <v>#REF!</v>
      </c>
      <c r="CC55" s="61" t="e">
        <f t="shared" si="6"/>
        <v>#REF!</v>
      </c>
      <c r="CD55" s="61" t="e">
        <f t="shared" si="6"/>
        <v>#REF!</v>
      </c>
      <c r="CE55" s="60" t="e">
        <f t="shared" si="7"/>
        <v>#REF!</v>
      </c>
      <c r="CF55" s="61" t="e">
        <f t="shared" si="7"/>
        <v>#REF!</v>
      </c>
      <c r="CG55" s="61" t="e">
        <f t="shared" si="7"/>
        <v>#REF!</v>
      </c>
      <c r="CH55" s="61" t="e">
        <f t="shared" si="7"/>
        <v>#REF!</v>
      </c>
      <c r="CI55" s="61" t="e">
        <f t="shared" si="7"/>
        <v>#REF!</v>
      </c>
      <c r="CJ55" s="60" t="e">
        <f t="shared" si="7"/>
        <v>#REF!</v>
      </c>
      <c r="CK55" s="61" t="e">
        <f t="shared" si="7"/>
        <v>#REF!</v>
      </c>
      <c r="CL55" s="61" t="e">
        <f t="shared" si="7"/>
        <v>#REF!</v>
      </c>
      <c r="CM55" s="61" t="e">
        <f t="shared" si="7"/>
        <v>#REF!</v>
      </c>
      <c r="CN55" s="61" t="e">
        <f t="shared" si="7"/>
        <v>#REF!</v>
      </c>
    </row>
    <row r="57" spans="1:92" x14ac:dyDescent="0.25">
      <c r="A57" s="62" t="s">
        <v>151</v>
      </c>
    </row>
    <row r="58" spans="1:92" x14ac:dyDescent="0.25">
      <c r="A58" s="63"/>
      <c r="B58" s="64" t="s">
        <v>152</v>
      </c>
    </row>
    <row r="59" spans="1:92" x14ac:dyDescent="0.25">
      <c r="A59" s="65"/>
      <c r="B59" s="64" t="s">
        <v>153</v>
      </c>
    </row>
    <row r="60" spans="1:92" x14ac:dyDescent="0.25">
      <c r="A60" s="66"/>
      <c r="B60" s="64" t="s">
        <v>154</v>
      </c>
    </row>
    <row r="61" spans="1:92" x14ac:dyDescent="0.25">
      <c r="A61" s="67"/>
      <c r="B61" s="64" t="s">
        <v>155</v>
      </c>
    </row>
    <row r="62" spans="1:92" x14ac:dyDescent="0.25">
      <c r="A62" s="68"/>
      <c r="B62" s="64" t="s">
        <v>156</v>
      </c>
    </row>
    <row r="63" spans="1:92" x14ac:dyDescent="0.25">
      <c r="A63" s="69"/>
      <c r="B63" s="64" t="s">
        <v>157</v>
      </c>
    </row>
    <row r="64" spans="1:92" x14ac:dyDescent="0.25">
      <c r="A64" s="70"/>
      <c r="B64" s="64" t="s">
        <v>158</v>
      </c>
    </row>
    <row r="65" spans="1:12" x14ac:dyDescent="0.25">
      <c r="A65" s="71" t="s">
        <v>159</v>
      </c>
      <c r="B65" s="64" t="s">
        <v>160</v>
      </c>
    </row>
    <row r="67" spans="1:12" ht="24.75" customHeight="1" x14ac:dyDescent="0.25">
      <c r="B67" s="75" t="s">
        <v>161</v>
      </c>
      <c r="C67" s="75"/>
      <c r="D67" s="75"/>
      <c r="E67" s="75"/>
      <c r="F67" s="75"/>
      <c r="G67" s="75"/>
      <c r="H67" s="75"/>
      <c r="I67" s="75"/>
      <c r="J67" s="75"/>
      <c r="K67" s="75"/>
      <c r="L67" s="75"/>
    </row>
    <row r="68" spans="1:12" ht="36" customHeight="1" x14ac:dyDescent="0.25">
      <c r="B68" s="75" t="s">
        <v>162</v>
      </c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1:12" ht="36" customHeight="1" x14ac:dyDescent="0.25">
      <c r="B69" s="75" t="s">
        <v>163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1:12" ht="36" customHeight="1" x14ac:dyDescent="0.25">
      <c r="B70" s="75" t="s">
        <v>164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</row>
    <row r="71" spans="1:12" ht="24.75" customHeight="1" x14ac:dyDescent="0.25">
      <c r="B71" s="75" t="s">
        <v>165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</row>
  </sheetData>
  <mergeCells count="49">
    <mergeCell ref="B69:L69"/>
    <mergeCell ref="B70:L70"/>
    <mergeCell ref="B71:L71"/>
    <mergeCell ref="BZ8:CD8"/>
    <mergeCell ref="CE8:CI8"/>
    <mergeCell ref="BK8:BO8"/>
    <mergeCell ref="BP8:BT8"/>
    <mergeCell ref="BU8:BY8"/>
    <mergeCell ref="K7:K9"/>
    <mergeCell ref="L7:L9"/>
    <mergeCell ref="M7:Q7"/>
    <mergeCell ref="R7:V7"/>
    <mergeCell ref="W7:AA7"/>
    <mergeCell ref="F7:F9"/>
    <mergeCell ref="G7:G9"/>
    <mergeCell ref="H7:H9"/>
    <mergeCell ref="CJ8:CN8"/>
    <mergeCell ref="B67:L67"/>
    <mergeCell ref="B68:L68"/>
    <mergeCell ref="BZ7:CD7"/>
    <mergeCell ref="CE7:CI7"/>
    <mergeCell ref="CJ7:CN7"/>
    <mergeCell ref="M8:Q8"/>
    <mergeCell ref="R8:V8"/>
    <mergeCell ref="W8:AA8"/>
    <mergeCell ref="AB8:AF8"/>
    <mergeCell ref="AG8:AK8"/>
    <mergeCell ref="AL8:AP8"/>
    <mergeCell ref="AQ8:AU8"/>
    <mergeCell ref="AV8:AZ8"/>
    <mergeCell ref="BA8:BE8"/>
    <mergeCell ref="BF8:BJ8"/>
    <mergeCell ref="BA7:BE7"/>
    <mergeCell ref="BF7:BJ7"/>
    <mergeCell ref="BK7:BO7"/>
    <mergeCell ref="BP7:BT7"/>
    <mergeCell ref="BU7:BY7"/>
    <mergeCell ref="AB7:AF7"/>
    <mergeCell ref="AG7:AK7"/>
    <mergeCell ref="AL7:AP7"/>
    <mergeCell ref="AQ7:AU7"/>
    <mergeCell ref="AV7:AZ7"/>
    <mergeCell ref="I7:I9"/>
    <mergeCell ref="J7:J9"/>
    <mergeCell ref="A7:A9"/>
    <mergeCell ref="B7:B9"/>
    <mergeCell ref="C7:C9"/>
    <mergeCell ref="D7:D9"/>
    <mergeCell ref="E7:E9"/>
  </mergeCells>
  <conditionalFormatting sqref="M7:CN9">
    <cfRule type="expression" dxfId="9" priority="11">
      <formula>M$5=0</formula>
    </cfRule>
  </conditionalFormatting>
  <conditionalFormatting sqref="M10:CN45">
    <cfRule type="expression" dxfId="8" priority="2">
      <formula>AND(M$5&gt;0,M$5&gt;=$F10,M$5&lt;=$G10,$L10="✓ Selesai")</formula>
    </cfRule>
    <cfRule type="expression" dxfId="7" priority="3">
      <formula>AND(M$5&gt;0,M$5&gt;=$F10,M$5&lt;=$G10,$L10="Terlambat")</formula>
    </cfRule>
    <cfRule type="expression" dxfId="6" priority="4">
      <formula>AND(M$5&gt;0,M$5&gt;=$F10,M$5&lt;=$G10,$L10="Revisi")</formula>
    </cfRule>
    <cfRule type="expression" dxfId="5" priority="5">
      <formula>AND(M$5&gt;0,M$5&gt;=$F10,M$5&lt;=$G10,LEN($A10)=1)</formula>
    </cfRule>
    <cfRule type="expression" dxfId="4" priority="6">
      <formula>AND(M$5&gt;0,M$5&gt;=$F10,M$5&lt;=$G10,1)</formula>
    </cfRule>
    <cfRule type="expression" dxfId="3" priority="7">
      <formula>M$5=0</formula>
    </cfRule>
    <cfRule type="expression" dxfId="2" priority="8">
      <formula>M$6=TODAY()</formula>
    </cfRule>
  </conditionalFormatting>
  <conditionalFormatting sqref="M47:CN55">
    <cfRule type="expression" dxfId="1" priority="9">
      <formula>M$5=0</formula>
    </cfRule>
    <cfRule type="expression" dxfId="0" priority="10">
      <formula>M$6=TODAY()</formula>
    </cfRule>
  </conditionalFormatting>
  <dataValidations count="1">
    <dataValidation type="list" sqref="L11:L12 L14:L17 L19:L22 L24:L27 L29:L32 L34:L36 L38:L40 L42:L45" xr:uid="{00000000-0002-0000-0200-000000000000}">
      <formula1>"✓ Selesai,Belum,Terlambat,Revisi"</formula1>
      <formula2>0</formula2>
    </dataValidation>
  </dataValidations>
  <pageMargins left="0.75" right="0.75" top="1" bottom="1" header="0.511811023622047" footer="0.511811023622047"/>
  <pageSetup paperSize="8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Diagram WBS</vt:lpstr>
      <vt:lpstr>Kamus WBS</vt:lpstr>
      <vt:lpstr>Gantt Chart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Alva Rizi</cp:lastModifiedBy>
  <cp:revision>0</cp:revision>
  <dcterms:created xsi:type="dcterms:W3CDTF">2026-10-16T09:23:28Z</dcterms:created>
  <dcterms:modified xsi:type="dcterms:W3CDTF">2026-10-26T06:57:21Z</dcterms:modified>
  <dc:language>en-US</dc:language>
</cp:coreProperties>
</file>